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הוראות" sheetId="1" state="visible" r:id="rId1"/>
    <sheet xmlns:r="http://schemas.openxmlformats.org/officeDocument/2006/relationships" name="מבנה" sheetId="2" state="visible" r:id="rId2"/>
    <sheet xmlns:r="http://schemas.openxmlformats.org/officeDocument/2006/relationships" name="רווחים_נצברים" sheetId="3" state="visible" r:id="rId3"/>
    <sheet xmlns:r="http://schemas.openxmlformats.org/officeDocument/2006/relationships" name="מגנים" sheetId="4" state="visible" r:id="rId4"/>
    <sheet xmlns:r="http://schemas.openxmlformats.org/officeDocument/2006/relationships" name="חלוקות" sheetId="5" state="visible" r:id="rId5"/>
    <sheet xmlns:r="http://schemas.openxmlformats.org/officeDocument/2006/relationships" name="סעיף_62א" sheetId="6" state="visible" r:id="rId6"/>
    <sheet xmlns:r="http://schemas.openxmlformats.org/officeDocument/2006/relationships" name="חישוב_81" sheetId="7" state="visible" r:id="rId7"/>
    <sheet xmlns:r="http://schemas.openxmlformats.org/officeDocument/2006/relationships" name="סימולטור" sheetId="8" state="visible" r:id="rId8"/>
    <sheet xmlns:r="http://schemas.openxmlformats.org/officeDocument/2006/relationships" name="דאשבורד" sheetId="9" state="visible" r:id="rId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#,##0;\(#,##0\);\-"/>
    <numFmt numFmtId="165" formatCode="0.0%"/>
    <numFmt numFmtId="166" formatCode="0.0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1F3864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9C0006"/>
      <sz val="10"/>
    </font>
    <font>
      <name val="Arial"/>
      <charset val="1"/>
      <family val="0"/>
      <i val="1"/>
      <color rgb="FF808080"/>
      <sz val="9"/>
    </font>
    <font>
      <name val="Arial"/>
      <charset val="1"/>
      <family val="0"/>
      <color rgb="FF0000FF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000000"/>
      <sz val="11"/>
    </font>
    <font>
      <name val="Arial"/>
      <charset val="1"/>
      <family val="0"/>
      <color rgb="FF008000"/>
      <sz val="10"/>
    </font>
    <font/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E2EFDA"/>
      </patternFill>
    </fill>
    <fill>
      <patternFill patternType="solid">
        <fgColor rgb="FFFCE4D6"/>
        <bgColor rgb="FFE2EFDA"/>
      </patternFill>
    </fill>
    <fill>
      <patternFill patternType="solid">
        <fgColor rgb="FFFFFF99"/>
        <bgColor rgb="FFFCE4D6"/>
      </patternFill>
    </fill>
    <fill>
      <patternFill patternType="solid">
        <fgColor rgb="FFE2EFDA"/>
        <bgColor rgb="FFD9E2F3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/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5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right" vertical="center"/>
    </xf>
    <xf numFmtId="0" fontId="0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right" vertical="center"/>
    </xf>
    <xf numFmtId="0" fontId="0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right" vertical="top" wrapText="1"/>
    </xf>
    <xf numFmtId="0" fontId="7" fillId="4" borderId="0" applyAlignment="1" pivotButton="0" quotePrefix="0" xfId="0">
      <alignment horizontal="right" vertical="top" wrapText="1"/>
    </xf>
    <xf numFmtId="0" fontId="8" fillId="0" borderId="0" applyAlignment="1" pivotButton="0" quotePrefix="0" xfId="0">
      <alignment horizontal="right" vertical="top" wrapText="1"/>
    </xf>
    <xf numFmtId="0" fontId="6" fillId="0" borderId="0" applyAlignment="1" pivotButton="0" quotePrefix="0" xfId="0">
      <alignment horizontal="right" vertical="center"/>
    </xf>
    <xf numFmtId="49" fontId="9" fillId="5" borderId="1" applyAlignment="1" pivotButton="0" quotePrefix="0" xfId="0">
      <alignment horizontal="right" vertical="center"/>
    </xf>
    <xf numFmtId="1" fontId="9" fillId="5" borderId="1" applyAlignment="1" pivotButton="0" quotePrefix="0" xfId="0">
      <alignment horizontal="right" vertical="center"/>
    </xf>
    <xf numFmtId="1" fontId="10" fillId="0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right" vertical="center"/>
    </xf>
    <xf numFmtId="49" fontId="12" fillId="6" borderId="1" applyAlignment="1" pivotButton="0" quotePrefix="0" xfId="0">
      <alignment horizontal="right" vertical="center"/>
    </xf>
    <xf numFmtId="1" fontId="12" fillId="6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center"/>
    </xf>
    <xf numFmtId="164" fontId="10" fillId="0" borderId="1" applyAlignment="1" pivotButton="0" quotePrefix="0" xfId="0">
      <alignment horizontal="right" vertical="center"/>
    </xf>
    <xf numFmtId="164" fontId="12" fillId="6" borderId="1" applyAlignment="1" pivotButton="0" quotePrefix="0" xfId="0">
      <alignment horizontal="right" vertical="center"/>
    </xf>
    <xf numFmtId="164" fontId="13" fillId="0" borderId="1" applyAlignment="1" pivotButton="0" quotePrefix="0" xfId="0">
      <alignment horizontal="right" vertical="center"/>
    </xf>
    <xf numFmtId="1" fontId="13" fillId="0" borderId="1" applyAlignment="1" pivotButton="0" quotePrefix="0" xfId="0">
      <alignment horizontal="right" vertical="center"/>
    </xf>
    <xf numFmtId="49" fontId="10" fillId="0" borderId="1" applyAlignment="1" pivotButton="0" quotePrefix="0" xfId="0">
      <alignment horizontal="right" vertical="center"/>
    </xf>
    <xf numFmtId="165" fontId="10" fillId="0" borderId="1" applyAlignment="1" pivotButton="0" quotePrefix="0" xfId="0">
      <alignment horizontal="right" vertical="center"/>
    </xf>
    <xf numFmtId="165" fontId="12" fillId="6" borderId="1" applyAlignment="1" pivotButton="0" quotePrefix="0" xfId="0">
      <alignment horizontal="right" vertical="center"/>
    </xf>
    <xf numFmtId="166" fontId="10" fillId="0" borderId="1" applyAlignment="1" pivotButton="0" quotePrefix="0" xfId="0">
      <alignment horizontal="right" vertical="center"/>
    </xf>
    <xf numFmtId="49" fontId="12" fillId="6" borderId="1" applyAlignment="1" pivotButton="0" quotePrefix="0" xfId="0">
      <alignment horizontal="right" vertical="top" wrapText="1"/>
    </xf>
    <xf numFmtId="0" fontId="13" fillId="0" borderId="0" applyAlignment="1" pivotButton="0" quotePrefix="0" xfId="0">
      <alignment horizontal="right" vertical="center"/>
    </xf>
    <xf numFmtId="1" fontId="13" fillId="0" borderId="0" applyAlignment="1" pivotButton="0" quotePrefix="0" xfId="0">
      <alignment horizontal="right" vertical="center"/>
    </xf>
    <xf numFmtId="49" fontId="13" fillId="0" borderId="1" applyAlignment="1" pivotButton="0" quotePrefix="0" xfId="0">
      <alignment horizontal="right" vertical="center"/>
    </xf>
    <xf numFmtId="165" fontId="13" fillId="0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right" vertical="center"/>
    </xf>
    <xf numFmtId="0" fontId="0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right" vertical="center"/>
    </xf>
    <xf numFmtId="0" fontId="0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right" vertical="top" wrapText="1"/>
    </xf>
    <xf numFmtId="0" fontId="7" fillId="4" borderId="0" applyAlignment="1" pivotButton="0" quotePrefix="0" xfId="0">
      <alignment horizontal="right" vertical="top" wrapText="1"/>
    </xf>
    <xf numFmtId="0" fontId="8" fillId="0" borderId="0" applyAlignment="1" pivotButton="0" quotePrefix="0" xfId="0">
      <alignment horizontal="right" vertical="top" wrapText="1"/>
    </xf>
    <xf numFmtId="0" fontId="6" fillId="0" borderId="0" applyAlignment="1" pivotButton="0" quotePrefix="0" xfId="0">
      <alignment horizontal="right" vertical="center"/>
    </xf>
    <xf numFmtId="49" fontId="9" fillId="5" borderId="1" applyAlignment="1" pivotButton="0" quotePrefix="0" xfId="0">
      <alignment horizontal="right" vertical="center"/>
    </xf>
    <xf numFmtId="1" fontId="9" fillId="5" borderId="1" applyAlignment="1" pivotButton="0" quotePrefix="0" xfId="0">
      <alignment horizontal="right" vertical="center"/>
    </xf>
    <xf numFmtId="1" fontId="10" fillId="0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right" vertical="center"/>
    </xf>
    <xf numFmtId="49" fontId="12" fillId="6" borderId="1" applyAlignment="1" pivotButton="0" quotePrefix="0" xfId="0">
      <alignment horizontal="right" vertical="center"/>
    </xf>
    <xf numFmtId="1" fontId="12" fillId="6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center"/>
    </xf>
    <xf numFmtId="164" fontId="10" fillId="0" borderId="1" applyAlignment="1" pivotButton="0" quotePrefix="0" xfId="0">
      <alignment horizontal="right" vertical="center"/>
    </xf>
    <xf numFmtId="164" fontId="12" fillId="6" borderId="1" applyAlignment="1" pivotButton="0" quotePrefix="0" xfId="0">
      <alignment horizontal="right" vertical="center"/>
    </xf>
    <xf numFmtId="164" fontId="13" fillId="0" borderId="1" applyAlignment="1" pivotButton="0" quotePrefix="0" xfId="0">
      <alignment horizontal="right" vertical="center"/>
    </xf>
    <xf numFmtId="1" fontId="13" fillId="0" borderId="1" applyAlignment="1" pivotButton="0" quotePrefix="0" xfId="0">
      <alignment horizontal="right" vertical="center"/>
    </xf>
    <xf numFmtId="49" fontId="10" fillId="0" borderId="1" applyAlignment="1" pivotButton="0" quotePrefix="0" xfId="0">
      <alignment horizontal="right" vertical="center"/>
    </xf>
    <xf numFmtId="165" fontId="10" fillId="0" borderId="1" applyAlignment="1" pivotButton="0" quotePrefix="0" xfId="0">
      <alignment horizontal="right" vertical="center"/>
    </xf>
    <xf numFmtId="0" fontId="14" fillId="0" borderId="2" pivotButton="0" quotePrefix="0" xfId="0"/>
    <xf numFmtId="165" fontId="12" fillId="6" borderId="1" applyAlignment="1" pivotButton="0" quotePrefix="0" xfId="0">
      <alignment horizontal="right" vertical="center"/>
    </xf>
    <xf numFmtId="166" fontId="10" fillId="0" borderId="1" applyAlignment="1" pivotButton="0" quotePrefix="0" xfId="0">
      <alignment horizontal="right" vertical="center"/>
    </xf>
    <xf numFmtId="49" fontId="12" fillId="6" borderId="1" applyAlignment="1" pivotButton="0" quotePrefix="0" xfId="0">
      <alignment horizontal="right" vertical="top" wrapText="1"/>
    </xf>
    <xf numFmtId="0" fontId="13" fillId="0" borderId="0" applyAlignment="1" pivotButton="0" quotePrefix="0" xfId="0">
      <alignment horizontal="right" vertical="center"/>
    </xf>
    <xf numFmtId="1" fontId="13" fillId="0" borderId="0" applyAlignment="1" pivotButton="0" quotePrefix="0" xfId="0">
      <alignment horizontal="right" vertical="center"/>
    </xf>
    <xf numFmtId="49" fontId="13" fillId="0" borderId="1" applyAlignment="1" pivotButton="0" quotePrefix="0" xfId="0">
      <alignment horizontal="right" vertical="center"/>
    </xf>
    <xf numFmtId="165" fontId="13" fillId="0" borderId="1" applyAlignment="1" pivotButton="0" quotePrefix="0" xfId="0">
      <alignment horizontal="right" vertical="center"/>
    </xf>
    <xf numFmtId="0" fontId="13" fillId="0" borderId="1" applyAlignment="1" pivotButton="0" quotePrefix="0" xfId="0">
      <alignment horizontal="righ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48"/>
  <sheetViews>
    <sheetView showFormulas="0" showGridLines="0" showRowColHeaders="1" showZeros="1" rightToLeft="1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31" min="1" max="1"/>
    <col width="95" customWidth="1" style="31" min="2" max="2"/>
  </cols>
  <sheetData>
    <row r="1" ht="24" customHeight="1" s="32">
      <c r="A1" s="33" t="inlineStr">
        <is>
          <t>כלי ניטור – חוק הרווחים הכלואים (תיקון 277 לפקודה)</t>
        </is>
      </c>
      <c r="B1" s="34" t="n"/>
    </row>
    <row r="3" ht="15" customHeight="1" s="32">
      <c r="A3" s="35" t="inlineStr">
        <is>
          <t>מה הקובץ עושה</t>
        </is>
      </c>
      <c r="B3" s="36" t="n"/>
    </row>
    <row r="4" ht="30" customHeight="1" s="32">
      <c r="B4" s="37" t="inlineStr">
        <is>
          <t>מחשב לכל לקוח: (1) תוספת המס בשיעור 2% על רווחים עודפים לפי סעיפים 81א–81ו; (2) ייחוס הכנסה לבעל השליטה לפי סעיף 62א; (3) סימולטור המראה כמה דיבידנד צריך לחלק כדי להיפטר מתוספת המס, ומה עדיף כלכלית.</t>
        </is>
      </c>
    </row>
    <row r="6" ht="15" customHeight="1" s="32">
      <c r="A6" s="35" t="inlineStr">
        <is>
          <t>מקרא צבעים</t>
        </is>
      </c>
      <c r="B6" s="36" t="n"/>
    </row>
    <row r="7" ht="15" customHeight="1" s="32">
      <c r="B7" s="37" t="inlineStr">
        <is>
          <t>תא צהוב עם טקסט כחול  =  תא קלט. רק בתאים אלה יש להזין נתונים.</t>
        </is>
      </c>
    </row>
    <row r="8" ht="15" customHeight="1" s="32">
      <c r="B8" s="37" t="inlineStr">
        <is>
          <t>טקסט שחור  =  נוסחה מחושבת. אין לדרוס.</t>
        </is>
      </c>
    </row>
    <row r="9" ht="15" customHeight="1" s="32">
      <c r="B9" s="37" t="inlineStr">
        <is>
          <t>טקסט ירוק  =  קישור מלשונית אחרת. אין לדרוס.</t>
        </is>
      </c>
    </row>
    <row r="10" ht="15" customHeight="1" s="32">
      <c r="B10" s="37" t="inlineStr">
        <is>
          <t>רקע ירוק בהיר  =  תוצאה סופית / מדד מפתח.</t>
        </is>
      </c>
    </row>
    <row r="12" ht="15" customHeight="1" s="32">
      <c r="A12" s="35" t="inlineStr">
        <is>
          <t>סדר עבודה מומלץ</t>
        </is>
      </c>
      <c r="B12" s="36" t="n"/>
    </row>
    <row r="13" ht="15" customHeight="1" s="32">
      <c r="B13" s="37" t="inlineStr">
        <is>
          <t>1. לשונית «מבנה» – פרטי החברה ומבנה הבעלות (חד-פעמי, עדכון שנתי).</t>
        </is>
      </c>
    </row>
    <row r="14" ht="15" customHeight="1" s="32">
      <c r="B14" s="37" t="inlineStr">
        <is>
          <t>2. לשונית «רווחים_נצברים» – נתוני מס מצטברים לתום שנת המס הקודמת.</t>
        </is>
      </c>
    </row>
    <row r="15" ht="15" customHeight="1" s="32">
      <c r="B15" s="37" t="inlineStr">
        <is>
          <t>3. לשונית «מגנים» – הוצאות ונכסים לתום שנת המס הנבדקת.</t>
        </is>
      </c>
    </row>
    <row r="16" ht="15" customHeight="1" s="32">
      <c r="B16" s="37" t="inlineStr">
        <is>
          <t>4. לשונית «חלוקות» – דיבידנדים, הפסדים והוראות המעבר.</t>
        </is>
      </c>
    </row>
    <row r="17" ht="15" customHeight="1" s="32">
      <c r="B17" s="37" t="inlineStr">
        <is>
          <t>5. לשונית «סעיף_62א» – פילוח הכנסות ושיעור רווחיות.</t>
        </is>
      </c>
    </row>
    <row r="18" ht="15" customHeight="1" s="32">
      <c r="B18" s="37" t="inlineStr">
        <is>
          <t>6. הצפייה בתוצאות: «חישוב_81», «סימולטור» ו«דאשבורד».</t>
        </is>
      </c>
    </row>
    <row r="20" ht="15" customHeight="1" s="32">
      <c r="A20" s="35" t="inlineStr">
        <is>
          <t>שימו לב – עיתוי הנתונים (טעות נפוצה)</t>
        </is>
      </c>
      <c r="B20" s="36" t="n"/>
    </row>
    <row r="21" ht="30" customHeight="1" s="32">
      <c r="B21" s="37" t="inlineStr">
        <is>
          <t>הרווחים הנצברים החייבים נמדדים לתום שנת המס הקודמת (סעיף 81ג(א)), בעוד שמגן ההוצאות ומגן הנכסים נמדדים לתום שנת המס הנבדקת. אלה שני מועדים שונים.</t>
        </is>
      </c>
    </row>
    <row r="23" ht="15" customHeight="1" s="32">
      <c r="A23" s="35" t="inlineStr">
        <is>
          <t>הנחות ופישוטים במודל זה (MVP)</t>
        </is>
      </c>
      <c r="B23" s="36" t="n"/>
    </row>
    <row r="24" ht="30" customHeight="1" s="32">
      <c r="B24" s="37" t="inlineStr">
        <is>
          <t>• הרווחים הנצברים הפטורים מחושבים לפי החלופה המיטיבה מבין שתיים (הגבוהה), בהתאם לזכות הבחירה בסעיף 81א.</t>
        </is>
      </c>
    </row>
    <row r="25" ht="30" customHeight="1" s="32">
      <c r="B25" s="37" t="inlineStr">
        <is>
          <t>• לפי סעיף 81ג(ג): חברה שבחרה בחלופה (1) לחישוב הרווחים הפטורים אינה זכאית למגן הנכסים. המודל מיישם זאת אוטומטית.</t>
        </is>
      </c>
    </row>
    <row r="26" ht="15" customHeight="1" s="32">
      <c r="B26" s="37" t="inlineStr">
        <is>
          <t>• סכום ההגנה של 750 אלף ש"ח מחולק במספר חברות המעטים שבשליטת בעל השליטה (סעיף 81ג(א)(1)).</t>
        </is>
      </c>
    </row>
    <row r="27" ht="30" customHeight="1" s="32">
      <c r="B27" s="37" t="inlineStr">
        <is>
          <t>• המודל אינו מחשב את מנגנון "הדיבידנד הרעיוני" לפי תקנות מס הכנסה (דיבידנדים ששולם מס בשל חלוקתם), התשפ"ה-2025, החל כאשר בעלי המניות הם חברות שחל עליהן סעיף 126(ב). במקרים אלה יש לבצע חישוב שרשרת ידני.</t>
        </is>
      </c>
    </row>
    <row r="28" ht="15" customHeight="1" s="32">
      <c r="B28" s="37" t="inlineStr">
        <is>
          <t>• שיעור מס הדיבידנד בסימולטור הוא פרמטר קלט (ברירת מחדל 33% – 30% + 3% מס יסף).</t>
        </is>
      </c>
    </row>
    <row r="30" ht="15" customHeight="1" s="32">
      <c r="A30" s="35" t="inlineStr">
        <is>
          <t>מועדים מרכזיים</t>
        </is>
      </c>
      <c r="B30" s="36" t="n"/>
    </row>
    <row r="31" ht="30" customHeight="1" s="32">
      <c r="B31" s="37" t="inlineStr">
        <is>
          <t>מועד הדיווח על הבחירה בחלופת החלוקה (6% / 50%): המוקדם מבין מועד הגשת הדוח השנתי לשנה הנבדקת לבין תום שנת המס העוקבת. המס על הדיבידנד – עד ה-16 בחודש שלאחר החלוקה (עדכון מס' 1 לחוזר 7/2025, 8.2.2026, ס"ק 5.4–5.5).</t>
        </is>
      </c>
    </row>
    <row r="32" ht="30" customHeight="1" s="32">
      <c r="B32" s="37" t="inlineStr">
        <is>
          <t>הדיווח על תוספת המס נעשה במסגרת הדוח השנתי לפי סעיף 131 (סעיף 81ה). גם חברה הסבורה שאינה חייבת – נדרשת לחשב ולדווח.</t>
        </is>
      </c>
    </row>
    <row r="34" ht="15" customHeight="1" s="32">
      <c r="A34" s="35" t="inlineStr">
        <is>
          <t>מקורות</t>
        </is>
      </c>
      <c r="B34" s="36" t="n"/>
    </row>
    <row r="35" ht="30" customHeight="1" s="32">
      <c r="B35" s="37" t="inlineStr">
        <is>
          <t>חוק ההתייעלות הכלכלית (תיקוני חקיקה להשגת יעדי התקציב לשנת 2025) (מיסוי רווחים לא מחולקים), התשפ"ה-2024 – ס"ח 3343, 31.12.2024 (תיקון 277).</t>
        </is>
      </c>
    </row>
    <row r="36" ht="30" customHeight="1" s="32">
      <c r="B36" s="37" t="inlineStr">
        <is>
          <t>חוזר מס הכנסה 7/2025 (19.10.2025) ועדכון מס' 1 לחוזר (8.2.2026); חוזר 01/2026 – הגדרת חברת מעטים; חוזר 02/2026 – תקנות דיבידנדים ששולם מס בשל חלוקתם; הוראת ביצוע 9/2026 – דיווח על רווחים לא מחולקים.</t>
        </is>
      </c>
    </row>
    <row r="38" ht="31.5" customHeight="1" s="32">
      <c r="B38" s="38" t="inlineStr">
        <is>
          <t>אזהרה: הקובץ הוא כלי ניטור וסינון ראשוני בלבד ואינו תחליף לחישוב שומתי מלא. הנתונים המצויים בו כעת הם נתוני דוגמה בלבד – יש להחליפם בנתוני הלקוח.</t>
        </is>
      </c>
    </row>
    <row r="40">
      <c r="A40" s="35" t="inlineStr">
        <is>
          <t>עדכון 28.9.2026 – החלטות מאימות הלוגיקה מול אברהם</t>
        </is>
      </c>
    </row>
    <row r="41">
      <c r="B41" s="37" t="inlineStr">
        <is>
          <t>• רווחים נצברים: בפיילוט לפי יתרת העודפים במאזן; נוסחת המס אופציונלית (לשונית «רווחים_נצברים», שורה 5).</t>
        </is>
      </c>
    </row>
    <row r="42">
      <c r="B42" s="37" t="inlineStr">
        <is>
          <t>• רווחים ממקור פטור (שתי החלופות ו-81ג(ג)): רלוונטי רק לחברות עם רווחים מארבעת המקורות. לכל השאר – 0.</t>
        </is>
      </c>
    </row>
    <row r="43">
      <c r="B43" s="37" t="inlineStr">
        <is>
          <t>• מגן הוצאות: כולל את השכר לתיקון 62א אם ישולם עד 31.12 (לשונית «מגנים», שורה 15).</t>
        </is>
      </c>
    </row>
    <row r="44">
      <c r="B44" s="37" t="inlineStr">
        <is>
          <t>• הוראות מעבר: מדרגות סעיף 5(ב) לפי שיעור החלוקה בתקופה הקובעת (לשונית «חלוקות», חלק ד). הדאשבורד מציג "מוגן עד שנת".</t>
        </is>
      </c>
    </row>
    <row r="45">
      <c r="B45" s="37" t="inlineStr">
        <is>
          <t>• דיבידנד מינימלי: הנמוך מבין חלופת 6% מהרווחים הנצברים לחלופת 50% מהרווחים העודפים.</t>
        </is>
      </c>
    </row>
    <row r="46">
      <c r="B46" s="37" t="inlineStr">
        <is>
          <t>• 62א: להוציא מהמונה גם הוצאות שקשורות ל"הכנסה אחרת". מבחן ריכוזיות מתקיים – ייחוס מלא (חסם עליון).</t>
        </is>
      </c>
    </row>
    <row r="47">
      <c r="B47" s="37" t="inlineStr">
        <is>
          <t>• הערכה שנתית להכנסות 2026 – לפי עונתיות 2025. התאמות סגירה – מטופס הפחת בדוח המבוקר האחרון, עם עדכון ידני של רו"ח המטפל.</t>
        </is>
      </c>
    </row>
    <row r="48">
      <c r="B48" s="37" t="inlineStr">
        <is>
          <t>• לבדיקה ידנית: חברות עם ני"ע או החזקות, חברות עם הכנסות מריבית או שכירות, וחברות עם רווחיות קרובה ל-25%.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2" customWidth="1" style="31" min="1" max="1"/>
    <col width="20" customWidth="1" style="31" min="2" max="2"/>
    <col width="62" customWidth="1" style="31" min="3" max="3"/>
  </cols>
  <sheetData>
    <row r="1" ht="24" customHeight="1" s="32">
      <c r="A1" s="33" t="inlineStr">
        <is>
          <t>1. פרטי החברה ומבנה הבעלות</t>
        </is>
      </c>
      <c r="B1" s="34" t="n"/>
      <c r="C1" s="34" t="n"/>
    </row>
    <row r="2" ht="22.35" customHeight="1" s="32">
      <c r="A2" s="39" t="inlineStr">
        <is>
          <t>נאסף פעם אחת מהרו"ח המטפל; מתעדכן אחת לשנה. זהו המידע שאינו קיים בשום מערכת הנהלת חשבונות.</t>
        </is>
      </c>
    </row>
    <row r="4" ht="15" customHeight="1" s="32">
      <c r="A4" s="35" t="inlineStr">
        <is>
          <t>זיהוי</t>
        </is>
      </c>
      <c r="B4" s="36" t="n"/>
      <c r="C4" s="36" t="n"/>
    </row>
    <row r="5" ht="15" customHeight="1" s="32">
      <c r="A5" s="40" t="inlineStr">
        <is>
          <t>שם החברה</t>
        </is>
      </c>
      <c r="B5" s="41" t="inlineStr">
        <is>
          <t>חברת דוגמה בע"מ</t>
        </is>
      </c>
    </row>
    <row r="6" ht="15" customHeight="1" s="32">
      <c r="A6" s="40" t="inlineStr">
        <is>
          <t>מספר ח.פ.</t>
        </is>
      </c>
      <c r="B6" s="41" t="inlineStr">
        <is>
          <t>515000000</t>
        </is>
      </c>
    </row>
    <row r="7" ht="15" customHeight="1" s="32">
      <c r="A7" s="40" t="inlineStr">
        <is>
          <t>שנת המס הנבדקת</t>
        </is>
      </c>
      <c r="B7" s="42" t="n">
        <v>2026</v>
      </c>
    </row>
    <row r="8" ht="15" customHeight="1" s="32">
      <c r="A8" s="40" t="inlineStr">
        <is>
          <t>שנת המס הקודמת</t>
        </is>
      </c>
      <c r="B8" s="43">
        <f>B7-1</f>
        <v/>
      </c>
      <c r="C8" s="39" t="inlineStr">
        <is>
          <t>בסיס מדידת הרווחים הנצברים</t>
        </is>
      </c>
    </row>
    <row r="10" ht="15" customHeight="1" s="32">
      <c r="A10" s="35" t="inlineStr">
        <is>
          <t>תחולת החוק</t>
        </is>
      </c>
      <c r="B10" s="36" t="n"/>
      <c r="C10" s="36" t="n"/>
    </row>
    <row r="11" ht="15" customHeight="1" s="32">
      <c r="A11" s="40" t="inlineStr">
        <is>
          <t>חברת מעטים כהגדרתה בסעיף 76? (כן/לא)</t>
        </is>
      </c>
      <c r="B11" s="41" t="inlineStr">
        <is>
          <t>כן</t>
        </is>
      </c>
      <c r="C11" s="39" t="inlineStr">
        <is>
          <t>ראו חוזר מ"ה 01/2026 שהרחיב את ההגדרה</t>
        </is>
      </c>
    </row>
    <row r="12" ht="15" customHeight="1" s="32">
      <c r="A12" s="40" t="inlineStr">
        <is>
          <t>חמי"ז / חנ"ז / מועדפת / מוטבת / מפעל מאושר? (כן/לא)</t>
        </is>
      </c>
      <c r="B12" s="41" t="inlineStr">
        <is>
          <t>לא</t>
        </is>
      </c>
      <c r="C12" s="39" t="inlineStr">
        <is>
          <t>"כן" שולל את תחולת סעיף 62א</t>
        </is>
      </c>
    </row>
    <row r="13" ht="15" customHeight="1" s="32">
      <c r="A13" s="44" t="inlineStr">
        <is>
          <t>חלה מערכת סעיפים 81א–81ו?</t>
        </is>
      </c>
      <c r="B13" s="45">
        <f>IF(B11="כן","כן","לא")</f>
        <v/>
      </c>
    </row>
    <row r="14" ht="15" customHeight="1" s="32">
      <c r="A14" s="44" t="inlineStr">
        <is>
          <t>חל סעיף 62א?</t>
        </is>
      </c>
      <c r="B14" s="45">
        <f>IF(AND(B11="כן",B12="לא"),"כן","לא")</f>
        <v/>
      </c>
    </row>
    <row r="16" ht="15" customHeight="1" s="32">
      <c r="A16" s="35" t="inlineStr">
        <is>
          <t>בעלות ושליטה</t>
        </is>
      </c>
      <c r="B16" s="36" t="n"/>
      <c r="C16" s="36" t="n"/>
    </row>
    <row r="17" ht="15" customHeight="1" s="32">
      <c r="A17" s="40" t="inlineStr">
        <is>
          <t>מספר בעלי השליטה (בעל שליטה וקרובו נמנים כאחד)</t>
        </is>
      </c>
      <c r="B17" s="42" t="n">
        <v>2</v>
      </c>
      <c r="C17" s="39" t="inlineStr">
        <is>
          <t>לסף 30 מש"ח בסעיף 62א(א1)(2)(א)</t>
        </is>
      </c>
    </row>
    <row r="18" ht="15" customHeight="1" s="32">
      <c r="A18" s="40" t="inlineStr">
        <is>
          <t>מספר חברות המעטים בשליטת בעל השליטה (כולל חברה זו)</t>
        </is>
      </c>
      <c r="B18" s="42" t="n">
        <v>2</v>
      </c>
    </row>
    <row r="19" ht="15" customHeight="1" s="32">
      <c r="A19" s="40" t="inlineStr">
        <is>
          <t>מתוכן: מספר חברות שהודיעו לפקיד השומה על ויתור על חלקן</t>
        </is>
      </c>
      <c r="B19" s="42" t="n">
        <v>0</v>
      </c>
    </row>
    <row r="20" ht="15" customHeight="1" s="32">
      <c r="A20" s="44" t="inlineStr">
        <is>
          <t>מספר החברות לחלוקת סכום ה-750 אלף ₪</t>
        </is>
      </c>
      <c r="B20" s="46">
        <f>IF(B19&gt;0,MAX(1,B18-B19),MAX(1,B18))</f>
        <v/>
      </c>
      <c r="C20" s="39" t="inlineStr">
        <is>
          <t>סעיף 81ג(א)(1)</t>
        </is>
      </c>
    </row>
    <row r="22" ht="15" customHeight="1" s="32">
      <c r="A22" s="40" t="inlineStr">
        <is>
          <t>קיים מחזיק מהותי (30%+)? (כן/לא)</t>
        </is>
      </c>
      <c r="B22" s="41" t="inlineStr">
        <is>
          <t>כן</t>
        </is>
      </c>
    </row>
    <row r="23" ht="15" customHeight="1" s="32">
      <c r="A23" s="40" t="inlineStr">
        <is>
          <t>סה"כ רווחים נצברים בכל חברות המחזיק המהותי (₪)</t>
        </is>
      </c>
      <c r="B23" s="47" t="n">
        <v>4200000</v>
      </c>
      <c r="C23" s="39" t="inlineStr">
        <is>
          <t>מתחת ל-750 אלף ₪ = "מחזיק בעל רווחים" שלילי</t>
        </is>
      </c>
    </row>
    <row r="24" ht="15" customHeight="1" s="32">
      <c r="A24" s="40" t="inlineStr">
        <is>
          <t>יש בין בעלי השליטה יחיד שהוא בעל שליטה בחברה אחרת? (כן/לא)</t>
        </is>
      </c>
      <c r="B24" s="41" t="inlineStr">
        <is>
          <t>כן</t>
        </is>
      </c>
    </row>
    <row r="26" ht="15" customHeight="1" s="32">
      <c r="A26" s="35" t="inlineStr">
        <is>
          <t>החזקות</t>
        </is>
      </c>
      <c r="B26" s="36" t="n"/>
      <c r="C26" s="36" t="n"/>
    </row>
    <row r="27" ht="15" customHeight="1" s="32">
      <c r="A27" s="40" t="inlineStr">
        <is>
          <t>שיעור חלק החברה בהכנסות שותפות (%)</t>
        </is>
      </c>
      <c r="B27" s="48" t="n">
        <v>0.05</v>
      </c>
      <c r="C27" s="39" t="inlineStr">
        <is>
          <t>10% ומעלה → 62א(א1); מתחת → 62א(א2)</t>
        </is>
      </c>
    </row>
    <row r="28" ht="15" customHeight="1" s="32">
      <c r="A28" s="40" t="inlineStr">
        <is>
          <t>סטטוס לפי חוק עידוד השקעות הון / מפעל תעשייתי</t>
        </is>
      </c>
      <c r="B28" s="41" t="inlineStr">
        <is>
          <t>אין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38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2. חישוב הרווחים הנצברים והרווחים הנצברים החייבים</t>
        </is>
      </c>
      <c r="B1" s="34" t="n"/>
      <c r="C1" s="34" t="n"/>
    </row>
    <row r="2" ht="15" customHeight="1" s="32">
      <c r="A2" s="49" t="inlineStr">
        <is>
          <t>כל הנתונים בלשונית זו – לתום שנת המס הקודמת (=מבנה!B8)</t>
        </is>
      </c>
    </row>
    <row r="4" ht="15" customHeight="1" s="32">
      <c r="A4" s="35" t="inlineStr">
        <is>
          <t>א. הנוסחה המיסויית (הגדרת "רווחים נצברים", סעיף 77(א))</t>
        </is>
      </c>
      <c r="B4" s="36" t="n"/>
      <c r="C4" s="36" t="n"/>
    </row>
    <row r="5" ht="15" customHeight="1" s="32">
      <c r="A5" s="40" t="inlineStr">
        <is>
          <t>הכנסה חייבת מצטברת מיום ההתאגדות</t>
        </is>
      </c>
      <c r="B5" s="47" t="n">
        <v>14500000</v>
      </c>
      <c r="C5" s="39" t="inlineStr">
        <is>
          <t>אופציונלי. בפיילוט: אם אין נתוני מס מצטברים – להשאיר ריק, והמודל ייקח את יתרת העודפים במאזן (שורה 14)</t>
        </is>
      </c>
    </row>
    <row r="6" ht="15" customHeight="1" s="32">
      <c r="A6" s="40" t="inlineStr">
        <is>
          <t>בתוספת: הכנסות פטורות ממס מצטברות</t>
        </is>
      </c>
      <c r="B6" s="47" t="n">
        <v>0</v>
      </c>
    </row>
    <row r="7" ht="15" customHeight="1" s="32">
      <c r="A7" s="40" t="inlineStr">
        <is>
          <t>בתוספת: שבח (סעיף 6 לחוק מיסוי מקרקעין)</t>
        </is>
      </c>
      <c r="B7" s="47" t="n">
        <v>0</v>
      </c>
    </row>
    <row r="8" ht="15" customHeight="1" s="32">
      <c r="A8" s="40" t="inlineStr">
        <is>
          <t>בניכוי: המס החל על ההכנסה (מצטבר)</t>
        </is>
      </c>
      <c r="B8" s="47" t="n">
        <v>3335000</v>
      </c>
    </row>
    <row r="9" ht="15" customHeight="1" s="32">
      <c r="A9" s="40" t="inlineStr">
        <is>
          <t>בניכוי: דיבידנדים שחולקו (מצטבר)</t>
        </is>
      </c>
      <c r="B9" s="47" t="n">
        <v>4000000</v>
      </c>
    </row>
    <row r="10" ht="15" customHeight="1" s="32">
      <c r="A10" s="40" t="inlineStr">
        <is>
          <t>בניכוי: הפסד שנוצר בחברה ולא קוזז</t>
        </is>
      </c>
      <c r="B10" s="47" t="n">
        <v>0</v>
      </c>
    </row>
    <row r="11" ht="15" customHeight="1" s="32">
      <c r="A11" s="44" t="inlineStr">
        <is>
          <t>רווחים נצברים לפי הנוסחה</t>
        </is>
      </c>
      <c r="B11" s="50">
        <f>B5+B6+B7-B8-B9-B10</f>
        <v/>
      </c>
    </row>
    <row r="13" ht="15" customHeight="1" s="32">
      <c r="A13" s="35" t="inlineStr">
        <is>
          <t>ב. התקרה החשבונאית</t>
        </is>
      </c>
      <c r="B13" s="36" t="n"/>
      <c r="C13" s="36" t="n"/>
    </row>
    <row r="14" ht="15" customHeight="1" s="32">
      <c r="A14" s="40" t="inlineStr">
        <is>
          <t>סכום הרווחים לפי סעיף 302(ב) לחוק החברות (יתרת העודפים במאזן)</t>
        </is>
      </c>
      <c r="B14" s="47" t="n">
        <v>7800000</v>
      </c>
    </row>
    <row r="15" ht="15" customHeight="1" s="32">
      <c r="A15" s="40" t="inlineStr">
        <is>
          <t>בתוספת: רווחים שהוונו</t>
        </is>
      </c>
      <c r="B15" s="47" t="n">
        <v>0</v>
      </c>
    </row>
    <row r="16" ht="15" customHeight="1" s="32">
      <c r="A16" s="40" t="inlineStr">
        <is>
          <t>בתוספת: רווחי תאגיד שקוף (בניכוי המס עליהם)</t>
        </is>
      </c>
      <c r="B16" s="47" t="n">
        <v>0</v>
      </c>
    </row>
    <row r="17" ht="15" customHeight="1" s="32">
      <c r="A17" s="44" t="inlineStr">
        <is>
          <t>תקרה חשבונאית</t>
        </is>
      </c>
      <c r="B17" s="50">
        <f>SUM(B14:B16)</f>
        <v/>
      </c>
    </row>
    <row r="19" ht="15" customHeight="1" s="32">
      <c r="A19" s="44" t="inlineStr">
        <is>
          <t>רווחים נצברים (הנמוך מבין הנוסחה לתקרה)</t>
        </is>
      </c>
      <c r="B19" s="51">
        <f>IF(OR(B5="",B5=0),B17,MIN(B11,B17))</f>
        <v/>
      </c>
      <c r="C19" s="39" t="inlineStr">
        <is>
          <t>ללא נתוני מס (שורה 5 ריקה) – יתרת העודפים במאזן. לסמן לבדיקה ידנית חברות עם ני"ע או החזקות</t>
        </is>
      </c>
    </row>
    <row r="20" ht="15" customHeight="1" s="32">
      <c r="A20" s="40" t="inlineStr">
        <is>
          <t>בניכוי: רווחים שיוחסו לבעל מניות (3(ט1), 62א, 64, 64א)</t>
        </is>
      </c>
      <c r="B20" s="47" t="n">
        <v>0</v>
      </c>
    </row>
    <row r="21" ht="15" customHeight="1" s="32">
      <c r="A21" s="44" t="inlineStr">
        <is>
          <t>רווחים נצברים לעניין סעיף 81א</t>
        </is>
      </c>
      <c r="B21" s="51">
        <f>MAX(0,B19-B20)</f>
        <v/>
      </c>
      <c r="C21" s="39" t="inlineStr">
        <is>
          <t>בסיס מבחן 6% ומבחן ההפסדים</t>
        </is>
      </c>
    </row>
    <row r="23" ht="15" customHeight="1" s="32">
      <c r="A23" s="35" t="inlineStr">
        <is>
          <t>ג. רווחים נצברים פטורים – חלופה (1): לפי מקור ההכנסה</t>
        </is>
      </c>
      <c r="B23" s="36" t="n"/>
      <c r="C23" s="36" t="n"/>
    </row>
    <row r="24" ht="15" customHeight="1" s="32">
      <c r="A24" s="40" t="inlineStr">
        <is>
          <t>הכנסה מוטבת / מפעל מועדף / טכנולוגית / מפעל מאושר</t>
        </is>
      </c>
      <c r="B24" s="47" t="n">
        <v>0</v>
      </c>
      <c r="C24" s="39" t="inlineStr">
        <is>
          <t>רלוונטי רק לחברות עם רווחים מאחד מארבעת המקורות. לכל השאר – להשאיר 0</t>
        </is>
      </c>
    </row>
    <row r="25" ht="15" customHeight="1" s="32">
      <c r="A25" s="40" t="inlineStr">
        <is>
          <t>מפעל תעשייתי – הכנסה ממכירות המפעל</t>
        </is>
      </c>
      <c r="B25" s="47" t="n">
        <v>0</v>
      </c>
    </row>
    <row r="26" ht="15" customHeight="1" s="32">
      <c r="A26" s="40" t="inlineStr">
        <is>
          <t>הכנסות מבניין שסעיף 8א(ג) חל בחישובן</t>
        </is>
      </c>
      <c r="B26" s="47" t="n">
        <v>0</v>
      </c>
    </row>
    <row r="27" ht="15" customHeight="1" s="32">
      <c r="A27" s="40" t="inlineStr">
        <is>
          <t>מוסד כספי – הכנסה מפעילותו</t>
        </is>
      </c>
      <c r="B27" s="47" t="n">
        <v>0</v>
      </c>
    </row>
    <row r="28" ht="15" customHeight="1" s="32">
      <c r="A28" s="40" t="inlineStr">
        <is>
          <t>סה"כ מקורות פטורים</t>
        </is>
      </c>
      <c r="B28" s="50">
        <f>SUM(B24:B27)</f>
        <v/>
      </c>
    </row>
    <row r="29" ht="15" customHeight="1" s="32">
      <c r="A29" s="40" t="inlineStr">
        <is>
          <t>בניכוי: עלות נכסים מיוחדים</t>
        </is>
      </c>
      <c r="B29" s="52">
        <f>מגנים!B31</f>
        <v/>
      </c>
    </row>
    <row r="30" ht="15" customHeight="1" s="32">
      <c r="A30" s="44" t="inlineStr">
        <is>
          <t>חלופה (1)</t>
        </is>
      </c>
      <c r="B30" s="50">
        <f>MAX(0,B28-B29)</f>
        <v/>
      </c>
    </row>
    <row r="32" ht="15" customHeight="1" s="32">
      <c r="A32" s="35" t="inlineStr">
        <is>
          <t>ד. רווחים נצברים פטורים – חלופה (2): 7 שנות המס האחרונות</t>
        </is>
      </c>
      <c r="B32" s="36" t="n"/>
      <c r="C32" s="36" t="n"/>
    </row>
    <row r="33" ht="15" customHeight="1" s="32">
      <c r="A33" s="40" t="inlineStr">
        <is>
          <t>רווחים נצברים פטורים שהופקו ב-7 שנות המס שקדמו</t>
        </is>
      </c>
      <c r="B33" s="47" t="n">
        <v>0</v>
      </c>
    </row>
    <row r="35" ht="15" customHeight="1" s="32">
      <c r="A35" s="35" t="inlineStr">
        <is>
          <t>ה. רווחים נצברים חייבים – שני התרחישים</t>
        </is>
      </c>
      <c r="B35" s="36" t="n"/>
      <c r="C35" s="36" t="n"/>
    </row>
    <row r="36" ht="27.75" customHeight="1" s="32">
      <c r="A36" s="39" t="inlineStr">
        <is>
          <t>הבחירה בין החלופות אינה "הגבוה מביניהן": בחירה בחלופה (1) שוללת את מגן הנכסים לפי סעיף 81ג(ג). לכן ההשוואה נעשית בלשונית «חישוב_81» ברמת הרווחים העודפים הסופיים.</t>
        </is>
      </c>
    </row>
    <row r="37" ht="15" customHeight="1" s="32">
      <c r="A37" s="44" t="inlineStr">
        <is>
          <t>רווחים נצברים חייבים – לפי חלופה (1)</t>
        </is>
      </c>
      <c r="B37" s="51">
        <f>MAX(0,B21-B30)</f>
        <v/>
      </c>
    </row>
    <row r="38" ht="15" customHeight="1" s="32">
      <c r="A38" s="44" t="inlineStr">
        <is>
          <t>רווחים נצברים חייבים – לפי חלופה (2)</t>
        </is>
      </c>
      <c r="B38" s="51">
        <f>MAX(0,B21-B33)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40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3. שלושת המגנים (סעיף 81ג(א))</t>
        </is>
      </c>
      <c r="B1" s="34" t="n"/>
      <c r="C1" s="34" t="n"/>
    </row>
    <row r="2" ht="15" customHeight="1" s="32">
      <c r="A2" s="49" t="inlineStr">
        <is>
          <t>נתוני הוצאות ונכסים – לתום שנת המס הנבדקת (=מבנה!B7)</t>
        </is>
      </c>
    </row>
    <row r="4" ht="15" customHeight="1" s="32">
      <c r="A4" s="35" t="inlineStr">
        <is>
          <t>מגן א' – סכום קבוע</t>
        </is>
      </c>
      <c r="B4" s="36" t="n"/>
      <c r="C4" s="36" t="n"/>
    </row>
    <row r="5" ht="15" customHeight="1" s="32">
      <c r="A5" s="40" t="inlineStr">
        <is>
          <t>סכום בסיס לפי החוק (₪)</t>
        </is>
      </c>
      <c r="B5" s="47" t="n">
        <v>750000</v>
      </c>
    </row>
    <row r="6" ht="15" customHeight="1" s="32">
      <c r="A6" s="40" t="inlineStr">
        <is>
          <t>מספר חברות לחלוקה</t>
        </is>
      </c>
      <c r="B6" s="53">
        <f>מבנה!B20</f>
        <v/>
      </c>
    </row>
    <row r="7" ht="15" customHeight="1" s="32">
      <c r="A7" s="44" t="inlineStr">
        <is>
          <t>מגן א'</t>
        </is>
      </c>
      <c r="B7" s="51">
        <f>B5/B6</f>
        <v/>
      </c>
    </row>
    <row r="9" ht="15" customHeight="1" s="32">
      <c r="A9" s="35" t="inlineStr">
        <is>
          <t>מגן ב' – הוצאות (סעיף 81ג(א)(2))</t>
        </is>
      </c>
      <c r="B9" s="36" t="n"/>
      <c r="C9" s="36" t="n"/>
    </row>
    <row r="10" ht="15" customHeight="1" s="32">
      <c r="A10" s="40" t="inlineStr">
        <is>
          <t>הוצאות מותרות בניכוי – שנת המס הנבדקת</t>
        </is>
      </c>
      <c r="B10" s="47" t="n">
        <v>3100000</v>
      </c>
    </row>
    <row r="11" ht="15" customHeight="1" s="32">
      <c r="A11" s="40" t="inlineStr">
        <is>
          <t>הוצאות מותרות בניכוי – שנה קודמת</t>
        </is>
      </c>
      <c r="B11" s="47" t="n">
        <v>2900000</v>
      </c>
    </row>
    <row r="12" ht="15" customHeight="1" s="32">
      <c r="A12" s="40" t="inlineStr">
        <is>
          <t>הוצאות מותרות בניכוי – שנתיים קודם</t>
        </is>
      </c>
      <c r="B12" s="47" t="n">
        <v>2600000</v>
      </c>
      <c r="C12" s="39" t="inlineStr">
        <is>
          <t>בכל השורות: ללא הוצאות לרכישת נכסים מיוחדים, וללא פחת והוצאות מימון בגין נכסים מיוחדים (עדכון מס' 1 לחוזר 7/2025, ס"ק 4.3)</t>
        </is>
      </c>
    </row>
    <row r="13" ht="15" customHeight="1" s="32">
      <c r="A13" s="40" t="inlineStr">
        <is>
          <t>ממוצע תלת-שנתי</t>
        </is>
      </c>
      <c r="B13" s="50">
        <f>AVERAGE(B10+IF(B15="כן",סעיף_62א!B31,0),B11,B12)</f>
        <v/>
      </c>
    </row>
    <row r="14" ht="15" customHeight="1" s="32">
      <c r="A14" s="44" t="inlineStr">
        <is>
          <t>מגן ב'</t>
        </is>
      </c>
      <c r="B14" s="51">
        <f>MAX(B10+IF(B15="כן",סעיף_62א!B31,0),B13)</f>
        <v/>
      </c>
      <c r="C14" s="39" t="inlineStr">
        <is>
          <t>כולל שכר תיקון 62א אם סומן "כן" בשורה 15</t>
        </is>
      </c>
    </row>
    <row r="15">
      <c r="A15" s="40" t="inlineStr">
        <is>
          <t>שכר לתיקון 62א ישולם עד 31.12? (כן/לא)</t>
        </is>
      </c>
      <c r="B15" s="47" t="inlineStr">
        <is>
          <t>לא</t>
        </is>
      </c>
      <c r="C15" s="39" t="inlineStr">
        <is>
          <t>"כן" = השכר המומלץ בלשונית 62א (שורה 31) מתווסף להוצאות 2026. אחרי התיקון, בחברה שהייתה מעל 25% ההוצאות הן 75% מהמחזור</t>
        </is>
      </c>
    </row>
    <row r="16" ht="15" customHeight="1" s="32">
      <c r="A16" s="35" t="inlineStr">
        <is>
          <t>מגן ג' – נכסים (סעיף 81ג(א)(3))</t>
        </is>
      </c>
      <c r="B16" s="36" t="n"/>
      <c r="C16" s="36" t="n"/>
    </row>
    <row r="17" ht="15" customHeight="1" s="32">
      <c r="A17" s="40" t="inlineStr">
        <is>
          <t>עלות כלל נכסי החברה</t>
        </is>
      </c>
      <c r="B17" s="47" t="n">
        <v>9400000</v>
      </c>
      <c r="C17" s="39" t="inlineStr">
        <is>
          <t>לפי עלות: יתרת מחיר מקורי / עלות מלאי / יתרת שווי רכישה + פחת</t>
        </is>
      </c>
    </row>
    <row r="19" ht="15" customHeight="1" s="32">
      <c r="A19" s="44" t="inlineStr">
        <is>
          <t>נכסים מיוחדים – ברוטו:</t>
        </is>
      </c>
    </row>
    <row r="20" ht="15" customHeight="1" s="32">
      <c r="A20" s="40" t="inlineStr">
        <is>
          <t xml:space="preserve">   ניירות ערך (לרבות מלאי עסקי)</t>
        </is>
      </c>
      <c r="B20" s="47" t="n">
        <v>2200000</v>
      </c>
    </row>
    <row r="21" ht="15" customHeight="1" s="32">
      <c r="A21" s="40" t="inlineStr">
        <is>
          <t xml:space="preserve">   נכס פיננסי (חוק הפיקוח על שירותים פיננסיים)</t>
        </is>
      </c>
      <c r="B21" s="47" t="n">
        <v>0</v>
      </c>
    </row>
    <row r="22" ht="15" customHeight="1" s="32">
      <c r="A22" s="40" t="inlineStr">
        <is>
          <t xml:space="preserve">   נכס בלתי מוחשי שעיקר הכנסתו תמלוגים</t>
        </is>
      </c>
      <c r="B22" s="47" t="n">
        <v>0</v>
      </c>
    </row>
    <row r="23" ht="15" customHeight="1" s="32">
      <c r="A23" s="40" t="inlineStr">
        <is>
          <t xml:space="preserve">   זכות במקרקעין</t>
        </is>
      </c>
      <c r="B23" s="47" t="n">
        <v>1500000</v>
      </c>
      <c r="C23" s="31" t="inlineStr">
        <is>
          <t>מלאי מקרקעין של חברה שיש לה הכנסה מבניין (סעיף 8א(ג)) – אינו נכס מיוחד לפי עדכון מס' 1 (לאמת מול דוגמה 4 בחוזר)</t>
        </is>
      </c>
    </row>
    <row r="24" ht="15" customHeight="1" s="32">
      <c r="A24" s="40" t="inlineStr">
        <is>
          <t xml:space="preserve">   מילווה / הלוואה / פיקדון / מזומן ושווי מזומן</t>
        </is>
      </c>
      <c r="B24" s="47" t="n">
        <v>2800000</v>
      </c>
    </row>
    <row r="25" ht="15" customHeight="1" s="32">
      <c r="A25" s="40" t="inlineStr">
        <is>
          <t xml:space="preserve">   סה"כ ברוטו</t>
        </is>
      </c>
      <c r="B25" s="50">
        <f>SUM(B20:B24)</f>
        <v/>
      </c>
    </row>
    <row r="26" ht="15" customHeight="1" s="32">
      <c r="A26" s="44" t="inlineStr">
        <is>
          <t>בניכוי חריגים שאינם נכסים מיוחדים:</t>
        </is>
      </c>
    </row>
    <row r="27" ht="15" customHeight="1" s="32">
      <c r="A27" s="40" t="inlineStr">
        <is>
          <t xml:space="preserve">   מקרקעין לשימוש עצמי (כללי חשבונאות מקובלים)</t>
        </is>
      </c>
      <c r="B27" s="47" t="n">
        <v>1500000</v>
      </c>
    </row>
    <row r="28" ht="15" customHeight="1" s="32">
      <c r="A28" s="40" t="inlineStr">
        <is>
          <t xml:space="preserve">   בניין להשכרה / לשכירות מוסדית</t>
        </is>
      </c>
      <c r="B28" s="47" t="n">
        <v>0</v>
      </c>
    </row>
    <row r="29" ht="15" customHeight="1" s="32">
      <c r="A29" s="40" t="inlineStr">
        <is>
          <t xml:space="preserve">   מזומן משועבד/מופקד בליווי פיננסי (אישור רו"ח)</t>
        </is>
      </c>
      <c r="B29" s="47" t="n">
        <v>0</v>
      </c>
    </row>
    <row r="30" ht="15" customHeight="1" s="32">
      <c r="A30" s="40" t="inlineStr">
        <is>
          <t xml:space="preserve">   מזומן לעמידה בדרישות הון עצמי לפי דין</t>
        </is>
      </c>
      <c r="B30" s="47" t="n">
        <v>0</v>
      </c>
    </row>
    <row r="31" ht="15" customHeight="1" s="32">
      <c r="A31" s="44" t="inlineStr">
        <is>
          <t>עלות נכסים מיוחדים – נטו</t>
        </is>
      </c>
      <c r="B31" s="50">
        <f>MAX(0,B25-SUM(B27:B30))</f>
        <v/>
      </c>
    </row>
    <row r="33" ht="15" customHeight="1" s="32">
      <c r="A33" s="40" t="inlineStr">
        <is>
          <t>בניכוי: הון עצמי (הון מניות + פרמיה)</t>
        </is>
      </c>
      <c r="B33" s="47" t="n">
        <v>100000</v>
      </c>
    </row>
    <row r="34" ht="15" customHeight="1" s="32">
      <c r="A34" s="40" t="inlineStr">
        <is>
          <t>בניכוי: יתרת הלוואה מצד קשור (ס' 103)</t>
        </is>
      </c>
      <c r="B34" s="47" t="n">
        <v>0</v>
      </c>
    </row>
    <row r="35" ht="15" customHeight="1" s="32">
      <c r="A35" s="40" t="inlineStr">
        <is>
          <t>בתוספת: עלות חבר בני אדם מוחזק (10%+)</t>
        </is>
      </c>
      <c r="B35" s="47" t="n">
        <v>0</v>
      </c>
    </row>
    <row r="36" ht="15" customHeight="1" s="32">
      <c r="A36" s="44" t="inlineStr">
        <is>
          <t>מגן ג'</t>
        </is>
      </c>
      <c r="B36" s="51">
        <f>MAX(0,B17-B31-B33-B34+B35)</f>
        <v/>
      </c>
    </row>
    <row r="38" ht="15" customHeight="1" s="32">
      <c r="A38" s="35" t="inlineStr">
        <is>
          <t>המגן הקובע – לפי תרחיש</t>
        </is>
      </c>
      <c r="B38" s="36" t="n"/>
      <c r="C38" s="36" t="n"/>
    </row>
    <row r="39" ht="15" customHeight="1" s="32">
      <c r="A39" s="44" t="inlineStr">
        <is>
          <t>מגן קובע אם נבחרה חלופה (1) – ללא מגן נכסים</t>
        </is>
      </c>
      <c r="B39" s="51">
        <f>MAX(B7,B14)</f>
        <v/>
      </c>
      <c r="C39" s="39" t="inlineStr">
        <is>
          <t>סעיף 81ג(ג) שולל את מגן הנכסים מחברה שבחרה בחלופה (1)</t>
        </is>
      </c>
    </row>
    <row r="40" ht="15" customHeight="1" s="32">
      <c r="A40" s="44" t="inlineStr">
        <is>
          <t>מגן קובע אם נבחרה חלופה (2) – כולל מגן נכסים</t>
        </is>
      </c>
      <c r="B40" s="51">
        <f>MAX(B7,B14,B36)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26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4. חלוקות, הפסדים והוראות מעבר</t>
        </is>
      </c>
      <c r="B1" s="34" t="n"/>
      <c r="C1" s="34" t="n"/>
    </row>
    <row r="3" ht="15" customHeight="1" s="32">
      <c r="A3" s="35" t="inlineStr">
        <is>
          <t>א. נתוני השנה הנבדקת</t>
        </is>
      </c>
      <c r="B3" s="36" t="n"/>
      <c r="C3" s="36" t="n"/>
    </row>
    <row r="4" ht="15" customHeight="1" s="32">
      <c r="A4" s="40" t="inlineStr">
        <is>
          <t>דיבידנדים ששולם מס בשל חלוקתם – בשנת המס הנבדקת</t>
        </is>
      </c>
      <c r="B4" s="47" t="n">
        <v>0</v>
      </c>
      <c r="C4" s="39" t="inlineStr">
        <is>
          <t>הגדרה: סעיף 81ב(ב)(3)</t>
        </is>
      </c>
    </row>
    <row r="5" ht="15" customHeight="1" s="32">
      <c r="A5" s="40" t="inlineStr">
        <is>
          <t>הפסדי החברה בשנת המס לפי סעיפים 28 / 29 / 92</t>
        </is>
      </c>
      <c r="B5" s="47" t="n">
        <v>0</v>
      </c>
    </row>
    <row r="7" ht="15" customHeight="1" s="32">
      <c r="A7" s="35" t="inlineStr">
        <is>
          <t>ב. נתוני בסיס לתום שנת המס הקודמת</t>
        </is>
      </c>
      <c r="B7" s="36" t="n"/>
      <c r="C7" s="36" t="n"/>
    </row>
    <row r="8" ht="15" customHeight="1" s="32">
      <c r="A8" s="40" t="inlineStr">
        <is>
          <t>רווחים נצברים</t>
        </is>
      </c>
      <c r="B8" s="52">
        <f>רווחים_נצברים!B21</f>
        <v/>
      </c>
    </row>
    <row r="9" ht="15" customHeight="1" s="32">
      <c r="A9" s="40" t="inlineStr">
        <is>
          <t>רווחים עודפים (מהחישוב של השנה שעברה)</t>
        </is>
      </c>
      <c r="B9" s="47" t="n">
        <v>3900000</v>
      </c>
      <c r="C9" s="39" t="inlineStr">
        <is>
          <t>בשנה הראשונה – יש לחשב ידנית; לאחר מכן נלקח מהקובץ של השנה הקודמת</t>
        </is>
      </c>
    </row>
    <row r="11" ht="15" customHeight="1" s="32">
      <c r="A11" s="35" t="inlineStr">
        <is>
          <t>ג. הוראות מעבר – רווחי יום התחילה (סעיף 5 לחוק)</t>
        </is>
      </c>
      <c r="B11" s="36" t="n"/>
      <c r="C11" s="36" t="n"/>
    </row>
    <row r="12" ht="15" customHeight="1" s="32">
      <c r="A12" s="40" t="inlineStr">
        <is>
          <t>רווחים עודפים בתום שנת 2025</t>
        </is>
      </c>
      <c r="B12" s="47" t="n">
        <v>4100000</v>
      </c>
      <c r="C12" s="39" t="inlineStr">
        <is>
          <t>לבירור: נוסח סעיף 5(א)(2) שהתקבל מאברהם מתייחס לרווחים העודפים בתום 2024</t>
        </is>
      </c>
    </row>
    <row r="13" ht="15" customHeight="1" s="32">
      <c r="A13" s="40" t="inlineStr">
        <is>
          <t>בניכוי: דיבידנדים ששולם מס בשל חלוקתם מרווחים אלה</t>
        </is>
      </c>
      <c r="B13" s="47" t="n">
        <v>900000</v>
      </c>
    </row>
    <row r="14" ht="15" customHeight="1" s="32">
      <c r="A14" s="44" t="inlineStr">
        <is>
          <t>רווחים שנותרו מרווחי יום התחילה</t>
        </is>
      </c>
      <c r="B14" s="50">
        <f>MAX(0,B12-B13)</f>
        <v/>
      </c>
    </row>
    <row r="15" ht="15" customHeight="1" s="32">
      <c r="A15" s="40" t="inlineStr">
        <is>
          <t>האם חולקו בשנת המס 20% ומעלה מהרווחים שנותרו? (כן/לא)</t>
        </is>
      </c>
      <c r="B15" s="54">
        <f>IF(AND(B14&gt;0,B4&gt;=0.2*B14),"כן","לא")</f>
        <v/>
      </c>
      <c r="C15" s="39" t="inlineStr">
        <is>
          <t>סעיף 5(א) – מזכה בהפחתת הרווחים שנותרו מהרווחים העודפים</t>
        </is>
      </c>
    </row>
    <row r="17" ht="15" customHeight="1" s="32">
      <c r="A17" s="35" t="inlineStr">
        <is>
          <t>ד. התקופה הקובעת (1.1.2025–30.11.2025)</t>
        </is>
      </c>
      <c r="B17" s="36" t="n"/>
      <c r="C17" s="36" t="n"/>
    </row>
    <row r="18" ht="15" customHeight="1" s="32">
      <c r="A18" s="40" t="inlineStr">
        <is>
          <t>רווחים נצברים ליום התחילה (1.1.2025)</t>
        </is>
      </c>
      <c r="B18" s="47" t="n">
        <v>7200000</v>
      </c>
    </row>
    <row r="19" ht="15" customHeight="1" s="32">
      <c r="A19" s="40" t="inlineStr">
        <is>
          <t>דיבידנד שחולק בתקופה הקובעת</t>
        </is>
      </c>
      <c r="B19" s="47" t="n">
        <v>900000</v>
      </c>
    </row>
    <row r="20" ht="15" customHeight="1" s="32">
      <c r="A20" s="40" t="inlineStr">
        <is>
          <t>הדיבידנד שולם בתקופה הקובעת והמס עליו שולם עד 31.12.2025? (כן/לא)</t>
        </is>
      </c>
      <c r="B20" s="41" t="inlineStr">
        <is>
          <t>כן</t>
        </is>
      </c>
    </row>
    <row r="21" ht="15" customHeight="1" s="32">
      <c r="A21" s="40" t="inlineStr">
        <is>
          <t>שיעור החלוקה בתקופה הקובעת</t>
        </is>
      </c>
      <c r="B21" s="55">
        <f>IFERROR(B19/B18,0)</f>
        <v/>
      </c>
    </row>
    <row r="22" ht="22.35" customHeight="1" s="32">
      <c r="A22" s="44" t="inlineStr">
        <is>
          <t>שנות המס האחרונות שבהן חלה ההגנה</t>
        </is>
      </c>
      <c r="B22" s="46">
        <f>IF(B20&lt;&gt;"כן",0,IF(B21&gt;=0.9,2029,IF(B21&gt;=0.75,2028,IF(B21&gt;=0.6,2027,IF(B21&gt;=0.35,2026,0)))))</f>
        <v/>
      </c>
      <c r="C22" s="39" t="inlineStr">
        <is>
          <t>סעיף 5(ב): 35%–60% → 2026; 60%–75% → 2026–2027; 75%–90% → 2026–2028; 90% ומעלה → 2026–2029</t>
        </is>
      </c>
    </row>
    <row r="23" ht="15" customHeight="1" s="32">
      <c r="A23" s="44" t="inlineStr">
        <is>
          <t>ההגנה חלה בשנת המס הנבדקת?</t>
        </is>
      </c>
      <c r="B23" s="45">
        <f>IF(AND(B22&gt;0,מבנה!B7&gt;=2026,מבנה!B7&lt;=B22),"כן","לא")</f>
        <v/>
      </c>
    </row>
    <row r="25" ht="15" customHeight="1" s="32">
      <c r="A25" s="56" t="n"/>
      <c r="B25" s="56" t="n"/>
      <c r="C25" s="56" t="n"/>
    </row>
    <row r="26" ht="22.35" customHeight="1" s="32">
      <c r="A26" s="56" t="n"/>
      <c r="B26" s="56" t="n"/>
      <c r="C26" s="5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C42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5. סעיף 62א – רווחיות עודפת וייחוס הכנסה</t>
        </is>
      </c>
      <c r="B1" s="34" t="n"/>
      <c r="C1" s="34" t="n"/>
    </row>
    <row r="3" ht="15" customHeight="1" s="32">
      <c r="A3" s="35" t="inlineStr">
        <is>
          <t>א. פילוח ההכנסות</t>
        </is>
      </c>
      <c r="B3" s="36" t="n"/>
      <c r="C3" s="36" t="n"/>
    </row>
    <row r="4" ht="15" customHeight="1" s="32">
      <c r="A4" s="40" t="inlineStr">
        <is>
          <t>סה"כ הכנסות החברה</t>
        </is>
      </c>
      <c r="B4" s="47" t="n">
        <v>8500000</v>
      </c>
    </row>
    <row r="5" ht="15" customHeight="1" s="32">
      <c r="A5" s="44" t="inlineStr">
        <is>
          <t>מתוכן "הכנסה אחרת" (סעיף 62א(ד)):</t>
        </is>
      </c>
    </row>
    <row r="6" ht="15" customHeight="1" s="32">
      <c r="A6" s="40" t="inlineStr">
        <is>
          <t xml:space="preserve">   ריבית / הפרשי הצמדה / דמי ניכיון</t>
        </is>
      </c>
      <c r="B6" s="47" t="n">
        <v>120000</v>
      </c>
    </row>
    <row r="7" ht="15" customHeight="1" s="32">
      <c r="A7" s="40" t="inlineStr">
        <is>
          <t xml:space="preserve">   דיבידנד</t>
        </is>
      </c>
      <c r="B7" s="47" t="n">
        <v>0</v>
      </c>
    </row>
    <row r="8" ht="15" customHeight="1" s="32">
      <c r="A8" s="40" t="inlineStr">
        <is>
          <t xml:space="preserve">   דמי שכירות</t>
        </is>
      </c>
      <c r="B8" s="47" t="n">
        <v>180000</v>
      </c>
    </row>
    <row r="9" ht="15" customHeight="1" s="32">
      <c r="A9" s="40" t="inlineStr">
        <is>
          <t xml:space="preserve">   תמורה ממכירת נכס (ס' 88)</t>
        </is>
      </c>
      <c r="B9" s="47" t="n">
        <v>0</v>
      </c>
    </row>
    <row r="10" ht="15" customHeight="1" s="32">
      <c r="A10" s="40" t="inlineStr">
        <is>
          <t xml:space="preserve">   מכירת נייר ערך שהוא מלאי עסקי</t>
        </is>
      </c>
      <c r="B10" s="47" t="n">
        <v>0</v>
      </c>
    </row>
    <row r="11" ht="15" customHeight="1" s="32">
      <c r="A11" s="40" t="inlineStr">
        <is>
          <t xml:space="preserve">   תמורה ממכירת זכות במקרקעין / איגוד</t>
        </is>
      </c>
      <c r="B11" s="47" t="n">
        <v>0</v>
      </c>
    </row>
    <row r="12" ht="15" customHeight="1" s="32">
      <c r="A12" s="40" t="inlineStr">
        <is>
          <t>סה"כ הכנסה אחרת</t>
        </is>
      </c>
      <c r="B12" s="50">
        <f>SUM(B6:B11)</f>
        <v/>
      </c>
    </row>
    <row r="13" ht="15" customHeight="1" s="32">
      <c r="A13" s="44" t="inlineStr">
        <is>
          <t>הכנסה מפעילות עתירת יגיעה אישית</t>
        </is>
      </c>
      <c r="B13" s="51">
        <f>MAX(0,B4-B12)</f>
        <v/>
      </c>
    </row>
    <row r="15" ht="15" customHeight="1" s="32">
      <c r="A15" s="35" t="inlineStr">
        <is>
          <t>ב. שיעור הרווחיות</t>
        </is>
      </c>
      <c r="B15" s="36" t="n"/>
      <c r="C15" s="36" t="n"/>
    </row>
    <row r="16" ht="15" customHeight="1" s="32">
      <c r="A16" s="40" t="inlineStr">
        <is>
          <t>הכנסה חייבת מפעילות עתירת יגיעה אישית</t>
        </is>
      </c>
      <c r="B16" s="47" t="n">
        <v>2900000</v>
      </c>
      <c r="C16" s="39" t="inlineStr">
        <is>
          <t>לאחר ייחוס הוצאות לפי 62א(ג1): לנכות גם הוצאות שקשורות ל"הכנסה אחרת" (הערת אברהם)</t>
        </is>
      </c>
    </row>
    <row r="17" ht="15" customHeight="1" s="32">
      <c r="A17" s="40" t="inlineStr">
        <is>
          <t>תשלומים לחברה קשורה</t>
        </is>
      </c>
      <c r="B17" s="47" t="n">
        <v>0</v>
      </c>
    </row>
    <row r="18" ht="15" customHeight="1" s="32">
      <c r="A18" s="44" t="inlineStr">
        <is>
          <t>שיעור רווחיות</t>
        </is>
      </c>
      <c r="B18" s="57">
        <f>IFERROR((B16+B17)/B13,0)</f>
        <v/>
      </c>
    </row>
    <row r="19" ht="15" customHeight="1" s="32">
      <c r="A19" s="40" t="inlineStr">
        <is>
          <t>שיעור רווחיות ממוצע 2023–2025 (לשימוש בשנת 2025 בלבד)</t>
        </is>
      </c>
      <c r="B19" s="48" t="n">
        <v>0</v>
      </c>
    </row>
    <row r="20" ht="15" customHeight="1" s="32">
      <c r="A20" s="40" t="inlineStr">
        <is>
          <t>השיעור הקובע</t>
        </is>
      </c>
      <c r="B20" s="55">
        <f>IF(AND(מבנה!B7=2025,B19&gt;0),MIN(B18,B19),B18)</f>
        <v/>
      </c>
    </row>
    <row r="21" ht="15" customHeight="1" s="32">
      <c r="A21" s="44" t="inlineStr">
        <is>
          <t>חצה את סף 25%?</t>
        </is>
      </c>
      <c r="B21" s="45">
        <f>IF(B20&gt;0.25,"כן","לא")</f>
        <v/>
      </c>
    </row>
    <row r="23" ht="15" customHeight="1" s="32">
      <c r="A23" s="35" t="inlineStr">
        <is>
          <t>ג. מבחני החרגה</t>
        </is>
      </c>
      <c r="B23" s="36" t="n"/>
      <c r="C23" s="36" t="n"/>
    </row>
    <row r="24" ht="15" customHeight="1" s="32">
      <c r="A24" s="40" t="inlineStr">
        <is>
          <t>סף המחזור: 30 מש"ח × מספר בעלי השליטה</t>
        </is>
      </c>
      <c r="B24" s="50">
        <f>30000000*מבנה!B17</f>
        <v/>
      </c>
    </row>
    <row r="25" ht="15" customHeight="1" s="32">
      <c r="A25" s="40" t="inlineStr">
        <is>
          <t>ההכנסה מפעילות עתירת יגיעה אישית מתחת לסף?</t>
        </is>
      </c>
      <c r="B25" s="54">
        <f>IF(B13&lt;B24,"כן – הסעיף עשוי לחול","לא – הסעיף אינו חל")</f>
        <v/>
      </c>
    </row>
    <row r="26" ht="15" customHeight="1" s="32">
      <c r="A26" s="40" t="inlineStr">
        <is>
          <t>פטור לפי 62א(א1)(2)(ג): אין בעל שליטה בחברה אחרת ורווחים ≤ 750 אלף</t>
        </is>
      </c>
      <c r="B26" s="54">
        <f>IF(AND(מבנה!B24="לא",רווחים_נצברים!B21&lt;=750000),"חל פטור","לא חל")</f>
        <v/>
      </c>
    </row>
    <row r="27" ht="15" customHeight="1" s="32">
      <c r="A27" s="44" t="inlineStr">
        <is>
          <t>הוראות 62א(א1) חלות?</t>
        </is>
      </c>
      <c r="B27" s="45">
        <f>IF(AND(מבנה!B14="כן",B21="כן",B13&lt;B24,B26="לא חל"),"כן","לא")</f>
        <v/>
      </c>
    </row>
    <row r="29" ht="15" customHeight="1" s="32">
      <c r="A29" s="35" t="inlineStr">
        <is>
          <t>ד. ההכנסה המיוחסת לבעל המניות הפעיל</t>
        </is>
      </c>
      <c r="B29" s="36" t="n"/>
      <c r="C29" s="36" t="n"/>
    </row>
    <row r="30" ht="15" customHeight="1" s="32">
      <c r="A30" s="40" t="inlineStr">
        <is>
          <t>ניכוי בגין רווחיות של 25%</t>
        </is>
      </c>
      <c r="B30" s="50">
        <f>0.25*MAX(0,B13-B17)</f>
        <v/>
      </c>
    </row>
    <row r="31" ht="15" customHeight="1" s="32">
      <c r="A31" s="44" t="inlineStr">
        <is>
          <t>סכום ההכנסה המיוחסת (כלל בעלי המניות)</t>
        </is>
      </c>
      <c r="B31" s="51">
        <f>IF(מבנה!B14="לא",0,IF(B37="כן",B16,IF(B27="כן",MAX(0,B16-B30),0)))</f>
        <v/>
      </c>
      <c r="C31" s="39" t="inlineStr">
        <is>
          <t>שווה לשכר לתיקון עד 31.12. אם מבחן הריכוזיות (שורה 37) מתקיים – כל ההכנסה החייבת מעתירת יגיעה אישית (חסם עליון)</t>
        </is>
      </c>
    </row>
    <row r="32" ht="15" customHeight="1" s="32">
      <c r="A32" s="40" t="inlineStr">
        <is>
          <t>שיעור מס שולי משוקלל</t>
        </is>
      </c>
      <c r="B32" s="48" t="n">
        <v>0.5</v>
      </c>
    </row>
    <row r="33" ht="15" customHeight="1" s="32">
      <c r="A33" s="40" t="inlineStr">
        <is>
          <t>מס חברות</t>
        </is>
      </c>
      <c r="B33" s="48" t="n">
        <v>0.23</v>
      </c>
    </row>
    <row r="34" ht="22.35" customHeight="1" s="32">
      <c r="A34" s="44" t="inlineStr">
        <is>
          <t>עלות מס נוספת עקב הייחוס (הערכה)</t>
        </is>
      </c>
      <c r="B34" s="51">
        <f>B31*(B32-B33)</f>
        <v/>
      </c>
      <c r="C34" s="39" t="inlineStr">
        <is>
          <t>הערכה בלבד – בפועל יש לקזז מס חברות ששולם לפי 62א(ג2)(5). מומלץ לאמת מול הסימולטור של רשות המסים לסעיפים 62א(א1),(א2),(א3)</t>
        </is>
      </c>
    </row>
    <row r="36" ht="15" customHeight="1" s="32">
      <c r="A36" s="35" t="inlineStr">
        <is>
          <t>ה. מבחנים משלימים (סימון ידני)</t>
        </is>
      </c>
      <c r="B36" s="36" t="n"/>
      <c r="C36" s="36" t="n"/>
    </row>
    <row r="37" ht="15" customHeight="1" s="32">
      <c r="A37" s="40" t="inlineStr">
        <is>
          <t>70% מהמחזור מגורם אחד במשך 22 חודשים מתוך 36? (כן/לא)</t>
        </is>
      </c>
      <c r="B37" s="41" t="inlineStr">
        <is>
          <t>לא</t>
        </is>
      </c>
    </row>
    <row r="38" ht="15" customHeight="1" s="32">
      <c r="A38" s="40" t="inlineStr">
        <is>
          <t>נושא משרה המחזיק פחות מ-25% בחברה מקבלת השירותים? (כן/לא)</t>
        </is>
      </c>
      <c r="B38" s="41" t="inlineStr">
        <is>
          <t>לא</t>
        </is>
      </c>
    </row>
    <row r="39" ht="15" customHeight="1" s="32">
      <c r="A39" s="40" t="inlineStr">
        <is>
          <t>חלק החברה בשותפות מתחת ל-10% (62א(א2))?</t>
        </is>
      </c>
      <c r="B39" s="54">
        <f>IF(AND(מבנה!B27&gt;0,מבנה!B27&lt;0.1),"כן – 55% ייוחסו","לא")</f>
        <v/>
      </c>
    </row>
    <row r="40" ht="15" customHeight="1" s="32">
      <c r="A40" s="40" t="inlineStr">
        <is>
          <t>דיבידנד בין-חברתי שהתקבל (62א(א3))</t>
        </is>
      </c>
      <c r="B40" s="47" t="n">
        <v>0</v>
      </c>
    </row>
    <row r="41" ht="15" customHeight="1" s="32">
      <c r="A41" s="40" t="inlineStr">
        <is>
          <t>שיעור ההחזקה בחברה המחלקת</t>
        </is>
      </c>
      <c r="B41" s="48" t="n">
        <v>0</v>
      </c>
    </row>
    <row r="42" ht="15" customHeight="1" s="32">
      <c r="A42" s="40" t="inlineStr">
        <is>
          <t>מזה ייחשב כהכנסת דיבידנד של בעל השליטה</t>
        </is>
      </c>
      <c r="B42" s="50">
        <f>IF(B41&lt;0.1,0.55*B40,0)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C27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6. חישוב הרווחים העודפים ותוספת המס (81ב–81ג)</t>
        </is>
      </c>
      <c r="B1" s="34" t="n"/>
      <c r="C1" s="34" t="n"/>
    </row>
    <row r="3" ht="15" customHeight="1" s="32">
      <c r="A3" s="35" t="inlineStr">
        <is>
          <t>א. בחירת החלופה והרווחים העודפים</t>
        </is>
      </c>
      <c r="B3" s="36" t="n"/>
      <c r="C3" s="36" t="n"/>
    </row>
    <row r="4" ht="15" customHeight="1" s="32">
      <c r="A4" s="40" t="inlineStr">
        <is>
          <t>בניכוי: הפחתה לפי הוראות המעבר (סעיף 5)</t>
        </is>
      </c>
      <c r="B4" s="50">
        <f>IF(OR(חלוקות!B15="כן",חלוקות!B23="כן"),חלוקות!B14,0)</f>
        <v/>
      </c>
      <c r="C4" s="39" t="inlineStr">
        <is>
          <t>רווחים שנותרו מרווחי יום התחילה</t>
        </is>
      </c>
    </row>
    <row r="5" ht="15" customHeight="1" s="32">
      <c r="A5" s="40" t="inlineStr">
        <is>
          <t>תרחיש חלופה (1): רווחים עודפים</t>
        </is>
      </c>
      <c r="B5" s="50">
        <f>MAX(0,רווחים_נצברים!B37-מגנים!B39-B4)</f>
        <v/>
      </c>
    </row>
    <row r="6" ht="15" customHeight="1" s="32">
      <c r="A6" s="40" t="inlineStr">
        <is>
          <t>תרחיש חלופה (2): רווחים עודפים</t>
        </is>
      </c>
      <c r="B6" s="50">
        <f>MAX(0,רווחים_נצברים!B38-מגנים!B40-B4)</f>
        <v/>
      </c>
    </row>
    <row r="7" ht="15" customHeight="1" s="32">
      <c r="A7" s="44" t="inlineStr">
        <is>
          <t>החלופה המיטיבה</t>
        </is>
      </c>
      <c r="B7" s="45">
        <f>IF(B5&lt;=B6,"חלופה 1","חלופה 2")</f>
        <v/>
      </c>
    </row>
    <row r="8" ht="15" customHeight="1" s="32">
      <c r="A8" s="40" t="inlineStr">
        <is>
          <t>רווחים נצברים חייבים (תום שנה קודמת)</t>
        </is>
      </c>
      <c r="B8" s="50">
        <f>IF(B7="חלופה 1",רווחים_נצברים!B37,רווחים_נצברים!B38)</f>
        <v/>
      </c>
    </row>
    <row r="9" ht="15" customHeight="1" s="32">
      <c r="A9" s="40" t="inlineStr">
        <is>
          <t>המגן הקובע</t>
        </is>
      </c>
      <c r="B9" s="50">
        <f>IF(B7="חלופה 1",מגנים!B39,מגנים!B40)</f>
        <v/>
      </c>
    </row>
    <row r="10" ht="15" customHeight="1" s="32">
      <c r="A10" s="44" t="inlineStr">
        <is>
          <t>רווחים עודפים</t>
        </is>
      </c>
      <c r="B10" s="51">
        <f>MIN(B5,B6)</f>
        <v/>
      </c>
    </row>
    <row r="12" ht="15" customHeight="1" s="32">
      <c r="A12" s="35" t="inlineStr">
        <is>
          <t>ב. בסיס תוספת המס</t>
        </is>
      </c>
      <c r="B12" s="36" t="n"/>
      <c r="C12" s="36" t="n"/>
    </row>
    <row r="13" ht="15" customHeight="1" s="32">
      <c r="A13" s="40" t="inlineStr">
        <is>
          <t>בניכוי: דיבידנד שחולק בשנת המס</t>
        </is>
      </c>
      <c r="B13" s="52">
        <f>חלוקות!B4</f>
        <v/>
      </c>
    </row>
    <row r="14" ht="15" customHeight="1" s="32">
      <c r="A14" s="44" t="inlineStr">
        <is>
          <t>בסיס תוספת המס</t>
        </is>
      </c>
      <c r="B14" s="51">
        <f>MAX(0,B10-B13)</f>
        <v/>
      </c>
    </row>
    <row r="16" ht="15" customHeight="1" s="32">
      <c r="A16" s="35" t="inlineStr">
        <is>
          <t>ג. מבחני הפטור (סעיף 81ב(ב))</t>
        </is>
      </c>
      <c r="B16" s="36" t="n"/>
      <c r="C16" s="36" t="n"/>
    </row>
    <row r="17" ht="15" customHeight="1" s="32">
      <c r="A17" s="40" t="inlineStr">
        <is>
          <t>שיעור החלוקה הנדרש בשנה הנבדקת</t>
        </is>
      </c>
      <c r="B17" s="55">
        <f>IF(מבנה!B7&lt;=2025,0.05,0.06)</f>
        <v/>
      </c>
    </row>
    <row r="18" ht="15" customHeight="1" s="32">
      <c r="A18" s="40" t="inlineStr">
        <is>
          <t>1. הפסדי השנה &gt; 10% מהרווחים הנצברים</t>
        </is>
      </c>
      <c r="B18" s="54">
        <f>IF(AND(חלוקות!B8&gt;0,חלוקות!B5&gt;0.1*חלוקות!B8),"פטור","לא")</f>
        <v/>
      </c>
    </row>
    <row r="19" ht="15" customHeight="1" s="32">
      <c r="A19" s="40" t="inlineStr">
        <is>
          <t>2. דיבידנד ≥ 50% מהרווחים העודפים בתום שנה קודמת</t>
        </is>
      </c>
      <c r="B19" s="54">
        <f>IF(AND(חלוקות!B9&gt;0,חלוקות!B4&gt;=0.5*MAX(0,חלוקות!B9-B4)),"פטור","לא")</f>
        <v/>
      </c>
      <c r="C19" s="39" t="inlineStr">
        <is>
          <t>בהפחתת הרווחים שנותרו מרווחי יום התחילה – סעיף 5(א)(2)</t>
        </is>
      </c>
    </row>
    <row r="20" ht="15" customHeight="1" s="32">
      <c r="A20" s="40" t="inlineStr">
        <is>
          <t>3. דיבידנד ≥ 6% מהרווחים הנצברים בתום שנה קודמת</t>
        </is>
      </c>
      <c r="B20" s="54">
        <f>IF(AND(חלוקות!B8&gt;0,חלוקות!B4&gt;=B17*חלוקות!B8),"פטור","לא")</f>
        <v/>
      </c>
    </row>
    <row r="21" ht="15" customHeight="1" s="32">
      <c r="A21" s="40" t="inlineStr">
        <is>
          <t>4. הוראת מעבר 2025 – חלוקה של 5% בתקופה הקובעת</t>
        </is>
      </c>
      <c r="B21" s="54">
        <f>IF(AND(מבנה!B7=2025,חלוקות!B20="כן",חלוקות!B21&gt;=0.05),"פטור","לא")</f>
        <v/>
      </c>
    </row>
    <row r="23" ht="15" customHeight="1" s="32">
      <c r="A23" s="44" t="inlineStr">
        <is>
          <t>האם קיים פטור מתוספת המס?</t>
        </is>
      </c>
      <c r="B23" s="45">
        <f>IF(OR(B18="פטור",B19="פטור",B20="פטור",B21="פטור"),"כן","לא")</f>
        <v/>
      </c>
    </row>
    <row r="25" ht="15" customHeight="1" s="32">
      <c r="A25" s="35" t="inlineStr">
        <is>
          <t>ד. תוספת המס</t>
        </is>
      </c>
      <c r="B25" s="36" t="n"/>
      <c r="C25" s="36" t="n"/>
    </row>
    <row r="26" ht="15" customHeight="1" s="32">
      <c r="A26" s="40" t="inlineStr">
        <is>
          <t>שיעור תוספת המס</t>
        </is>
      </c>
      <c r="B26" s="48" t="n">
        <v>0.02</v>
      </c>
    </row>
    <row r="27" ht="15" customHeight="1" s="32">
      <c r="A27" s="44" t="inlineStr">
        <is>
          <t>תוספת המס לתשלום (₪)</t>
        </is>
      </c>
      <c r="B27" s="51">
        <f>IF(OR(מבנה!B13="לא",B23="כן"),0,B26*B14)</f>
        <v/>
      </c>
      <c r="C27" s="39" t="inlineStr">
        <is>
          <t>אינה מותרת בניכוי (סעיף 81ד). דינה כמס חברות, ללא מקדמות (81ו).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C22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7. סימולטור החלטה – לחלק דיבידנד או לשלם 2%?</t>
        </is>
      </c>
      <c r="B1" s="34" t="n"/>
      <c r="C1" s="34" t="n"/>
    </row>
    <row r="2" ht="22.35" customHeight="1" s="32">
      <c r="A2" s="39" t="inlineStr">
        <is>
          <t>הדיבידנד חייב להיות מחולק עד 31.12 של שנת המס. מועד הדיווח על הבחירה בחלופת החלוקה (6% / 50%): המוקדם מבין מועד הגשת הדוח השנתי לשנה הנבדקת לבין תום שנת המס העוקבת. המס על הדיבידנד – עד ה-16 בחודש שלאחר החלוקה (עדכון מס' 1 לחוזר 7/2025, 8.2.2026, ס"ק 5.4–5.5).</t>
        </is>
      </c>
    </row>
    <row r="4" ht="15" customHeight="1" s="32">
      <c r="A4" s="35" t="inlineStr">
        <is>
          <t>א. סכומי החלוקה הנדרשים</t>
        </is>
      </c>
      <c r="B4" s="36" t="n"/>
      <c r="C4" s="36" t="n"/>
    </row>
    <row r="5" ht="15" customHeight="1" s="32">
      <c r="A5" s="40" t="inlineStr">
        <is>
          <t>חלופת 6% – מהרווחים הנצברים</t>
        </is>
      </c>
      <c r="B5" s="50">
        <f>חישוב_81!B17*חלוקות!B8</f>
        <v/>
      </c>
    </row>
    <row r="6" ht="15" customHeight="1" s="32">
      <c r="A6" s="40" t="inlineStr">
        <is>
          <t>חלופת 50% – מהרווחים העודפים</t>
        </is>
      </c>
      <c r="B6" s="50">
        <f>0.5*MAX(0,חלוקות!B9-חישוב_81!B4)</f>
        <v/>
      </c>
    </row>
    <row r="7" ht="15" customHeight="1" s="32">
      <c r="A7" s="40" t="inlineStr">
        <is>
          <t>החלופה הזולה</t>
        </is>
      </c>
      <c r="B7" s="54">
        <f>IF(B5&lt;=B6,"חלופת 6%","חלופת 50%")</f>
        <v/>
      </c>
    </row>
    <row r="8" ht="15" customHeight="1" s="32">
      <c r="A8" s="44" t="inlineStr">
        <is>
          <t>דיבידנד מינימלי נדרש</t>
        </is>
      </c>
      <c r="B8" s="51">
        <f>MIN(B5,B6)</f>
        <v/>
      </c>
    </row>
    <row r="9" ht="15" customHeight="1" s="32">
      <c r="A9" s="40" t="inlineStr">
        <is>
          <t>בניכוי: דיבידנד שכבר חולק</t>
        </is>
      </c>
      <c r="B9" s="52">
        <f>חלוקות!B4</f>
        <v/>
      </c>
    </row>
    <row r="10" ht="15" customHeight="1" s="32">
      <c r="A10" s="44" t="inlineStr">
        <is>
          <t>פער לסגירה עד 31.12</t>
        </is>
      </c>
      <c r="B10" s="51">
        <f>MAX(0,B8-B9)</f>
        <v/>
      </c>
    </row>
    <row r="12" ht="15" customHeight="1" s="32">
      <c r="A12" s="35" t="inlineStr">
        <is>
          <t>ב. השוואה כלכלית</t>
        </is>
      </c>
      <c r="B12" s="36" t="n"/>
      <c r="C12" s="36" t="n"/>
    </row>
    <row r="13" ht="15" customHeight="1" s="32">
      <c r="A13" s="40" t="inlineStr">
        <is>
          <t>שיעור מס דיבידנד (כולל מס יסף)</t>
        </is>
      </c>
      <c r="B13" s="48" t="n">
        <v>0.33</v>
      </c>
    </row>
    <row r="14" ht="15" customHeight="1" s="32">
      <c r="A14" s="40" t="inlineStr">
        <is>
          <t>עלות מס מיידית בחלוקה</t>
        </is>
      </c>
      <c r="B14" s="50">
        <f>B10*B13</f>
        <v/>
      </c>
    </row>
    <row r="15" ht="15" customHeight="1" s="32">
      <c r="A15" s="40" t="inlineStr">
        <is>
          <t>עלות תוספת המס אם לא מחלקים</t>
        </is>
      </c>
      <c r="B15" s="52">
        <f>חישוב_81!B27</f>
        <v/>
      </c>
    </row>
    <row r="16" ht="15" customHeight="1" s="32">
      <c r="A16" s="40" t="inlineStr">
        <is>
          <t>הפרש (חלוקה פחות אי-חלוקה)</t>
        </is>
      </c>
      <c r="B16" s="50">
        <f>B14-B15</f>
        <v/>
      </c>
    </row>
    <row r="17" ht="15" customHeight="1" s="32">
      <c r="A17" s="40" t="inlineStr">
        <is>
          <t>מספר שנים לאיזון</t>
        </is>
      </c>
      <c r="B17" s="58">
        <f>IFERROR(IF(B15&lt;=0,0,B14/B15),0)</f>
        <v/>
      </c>
      <c r="C17" s="39" t="inlineStr">
        <is>
          <t>בכמה שנים תצטבר תוספת ה-2% לכדי עלות המס בחלוקה</t>
        </is>
      </c>
    </row>
    <row r="19" ht="15" customHeight="1" s="32">
      <c r="A19" s="35" t="inlineStr">
        <is>
          <t>ג. מסקנה</t>
        </is>
      </c>
      <c r="B19" s="36" t="n"/>
      <c r="C19" s="36" t="n"/>
    </row>
    <row r="20" ht="30" customHeight="1" s="32">
      <c r="A20" s="44" t="inlineStr">
        <is>
          <t>המלצה תפעולית</t>
        </is>
      </c>
      <c r="B20" s="59">
        <f>IF(מבנה!B9="לא","החוק אינו חל – אין פעולה נדרשת",IF(חישוב_81!B19="כן","עומדת בפטור – אין פעולה נדרשת",IF(B6&lt;=0,"אין רווחים עודפים חייבים – אין פעולה נדרשת",IF(B10&lt;B11,"מומלץ לשקול חלוקה – זולה מתוספת המס באותה שנה","תוספת המס זולה יותר השנה – יש לבחון את ההשפעה הרב-שנתית"))))</f>
        <v/>
      </c>
    </row>
    <row r="21" ht="15" customHeight="1" s="32">
      <c r="A21" s="56" t="n"/>
      <c r="B21" s="56" t="n"/>
      <c r="C21" s="56" t="n"/>
    </row>
    <row r="22">
      <c r="A22" s="56" t="n"/>
      <c r="B22" s="56" t="n"/>
      <c r="C22" s="56" t="n"/>
    </row>
    <row r="23" s="32"/>
    <row r="24" s="32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C33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6" customWidth="1" style="31" min="1" max="1"/>
    <col width="24" customWidth="1" style="31" min="2" max="2"/>
    <col width="46" customWidth="1" style="31" min="3" max="3"/>
  </cols>
  <sheetData>
    <row r="1" ht="24" customHeight="1" s="32">
      <c r="A1" s="33" t="inlineStr">
        <is>
          <t>8. דאשבורד – סיכום מצב הלקוח</t>
        </is>
      </c>
      <c r="B1" s="34" t="n"/>
      <c r="C1" s="34" t="n"/>
    </row>
    <row r="3" ht="15" customHeight="1" s="32">
      <c r="A3" s="44" t="inlineStr">
        <is>
          <t>שם החברה</t>
        </is>
      </c>
      <c r="B3" s="60">
        <f>מבנה!B5</f>
        <v/>
      </c>
    </row>
    <row r="4" ht="15" customHeight="1" s="32">
      <c r="A4" s="44" t="inlineStr">
        <is>
          <t>שנת המס הנבדקת</t>
        </is>
      </c>
      <c r="B4" s="61">
        <f>מבנה!B7</f>
        <v/>
      </c>
    </row>
    <row r="6" ht="15" customHeight="1" s="32">
      <c r="A6" s="35" t="inlineStr">
        <is>
          <t>מסלול 81 – תוספת מס 2%</t>
        </is>
      </c>
      <c r="B6" s="36" t="n"/>
      <c r="C6" s="36" t="n"/>
    </row>
    <row r="7" ht="15" customHeight="1" s="32">
      <c r="A7" s="40" t="inlineStr">
        <is>
          <t>רווחים נצברים</t>
        </is>
      </c>
      <c r="B7" s="52">
        <f>רווחים_נצברים!B21</f>
        <v/>
      </c>
    </row>
    <row r="8" ht="15" customHeight="1" s="32">
      <c r="A8" s="40" t="inlineStr">
        <is>
          <t>החלופה המיטיבה</t>
        </is>
      </c>
      <c r="B8" s="62">
        <f>חישוב_81!B7</f>
        <v/>
      </c>
    </row>
    <row r="9" ht="15" customHeight="1" s="32">
      <c r="A9" s="40" t="inlineStr">
        <is>
          <t>רווחים נצברים חייבים</t>
        </is>
      </c>
      <c r="B9" s="52">
        <f>חישוב_81!B8</f>
        <v/>
      </c>
    </row>
    <row r="10" ht="15" customHeight="1" s="32">
      <c r="A10" s="40" t="inlineStr">
        <is>
          <t>המגן הקובע</t>
        </is>
      </c>
      <c r="B10" s="52">
        <f>חישוב_81!B9</f>
        <v/>
      </c>
    </row>
    <row r="11" ht="15" customHeight="1" s="32">
      <c r="A11" s="40" t="inlineStr">
        <is>
          <t>רווחים עודפים</t>
        </is>
      </c>
      <c r="B11" s="52">
        <f>חישוב_81!B10</f>
        <v/>
      </c>
    </row>
    <row r="12" ht="15" customHeight="1" s="32">
      <c r="A12" s="40" t="inlineStr">
        <is>
          <t>קיים פטור?</t>
        </is>
      </c>
      <c r="B12" s="62">
        <f>חישוב_81!B23</f>
        <v/>
      </c>
    </row>
    <row r="13" ht="15" customHeight="1" s="32">
      <c r="A13" s="40" t="inlineStr">
        <is>
          <t>תוספת מס לתשלום (₪)</t>
        </is>
      </c>
      <c r="B13" s="52">
        <f>חישוב_81!B27</f>
        <v/>
      </c>
    </row>
    <row r="14" ht="15" customHeight="1" s="32">
      <c r="A14" s="40" t="inlineStr">
        <is>
          <t>דיבידנד מינימלי לפטור (₪)</t>
        </is>
      </c>
      <c r="B14" s="52">
        <f>סימולטור!B8</f>
        <v/>
      </c>
    </row>
    <row r="15" ht="15" customHeight="1" s="32">
      <c r="A15" s="40" t="inlineStr">
        <is>
          <t>פער לסגירה עד 31.12 (₪)</t>
        </is>
      </c>
      <c r="B15" s="52">
        <f>סימולטור!B10</f>
        <v/>
      </c>
    </row>
    <row r="16">
      <c r="A16" s="40" t="inlineStr">
        <is>
          <t>הגנת הוראת מעבר עד שנת</t>
        </is>
      </c>
      <c r="B16" s="64">
        <f>IF(חלוקות!B23="כן",חלוקות!B22,"אין")</f>
        <v/>
      </c>
    </row>
    <row r="17" ht="15" customHeight="1" s="32">
      <c r="A17" s="35" t="inlineStr">
        <is>
          <t>מסלול 62א – רווחיות עודפת</t>
        </is>
      </c>
      <c r="B17" s="36" t="n"/>
      <c r="C17" s="36" t="n"/>
    </row>
    <row r="18" ht="15" customHeight="1" s="32">
      <c r="A18" s="40" t="inlineStr">
        <is>
          <t>שיעור רווחיות</t>
        </is>
      </c>
      <c r="B18" s="63">
        <f>סעיף_62א!B20</f>
        <v/>
      </c>
    </row>
    <row r="19" ht="15" customHeight="1" s="32">
      <c r="A19" s="40" t="inlineStr">
        <is>
          <t>חצה סף 25%?</t>
        </is>
      </c>
      <c r="B19" s="62">
        <f>סעיף_62א!B21</f>
        <v/>
      </c>
    </row>
    <row r="20" ht="15" customHeight="1" s="32">
      <c r="A20" s="40" t="inlineStr">
        <is>
          <t>הסעיף חל?</t>
        </is>
      </c>
      <c r="B20" s="62">
        <f>סעיף_62א!B27</f>
        <v/>
      </c>
    </row>
    <row r="21" ht="15" customHeight="1" s="32">
      <c r="A21" s="40" t="inlineStr">
        <is>
          <t>הכנסה מיוחסת = שכר לתיקון עד 31.12 (₪)</t>
        </is>
      </c>
      <c r="B21" s="52">
        <f>סעיף_62א!B31</f>
        <v/>
      </c>
    </row>
    <row r="22" ht="15" customHeight="1" s="32">
      <c r="A22" s="40" t="inlineStr">
        <is>
          <t>עלות מס נוספת מוערכת (₪)</t>
        </is>
      </c>
      <c r="B22" s="52">
        <f>סעיף_62א!B34</f>
        <v/>
      </c>
    </row>
    <row r="24" ht="15" customHeight="1" s="32">
      <c r="A24" s="35" t="inlineStr">
        <is>
          <t>רמזור</t>
        </is>
      </c>
      <c r="B24" s="36" t="n"/>
      <c r="C24" s="36" t="n"/>
    </row>
    <row r="25" ht="15" customHeight="1" s="32">
      <c r="A25" s="44" t="inlineStr">
        <is>
          <t>סטטוס מסלול 81</t>
        </is>
      </c>
      <c r="B25" s="45">
        <f>IF(חלוקות!B23="כן",IF(חישוב_81!B27&gt;0,"אדום – חשוף לתוספת מס","ירוק – מוגן לפי הוראת מעבר עד "&amp;חלוקות!B22),IF(מבנה!B13="לא","ירוק – החוק אינו חל",IF(חישוב_81!B27&gt;0,"אדום – חשוף לתוספת מס",IF(AND(חישוב_81!B10&gt;0,סימולטור!B10&gt;0),"צהוב – נדרשת חלוקה לשמירת הפטור","ירוק – מוגן"))))</f>
        <v/>
      </c>
    </row>
    <row r="26" ht="15" customHeight="1" s="32">
      <c r="A26" s="44" t="inlineStr">
        <is>
          <t>סטטוס מסלול 62א</t>
        </is>
      </c>
      <c r="B26" s="45">
        <f>IF(מבנה!B14="לא","ירוק – הסעיף אינו חל",IF(סעיף_62א!B37="כן","אדום – מבחן ריכוזיות: ייחוס מלא",IF(סעיף_62א!B27="כן","אדום – ייחוס הכנסה לבעל המניות",IF(סעיף_62א!B20&gt;0.2,"צהוב – רווחיות מתקרבת לסף 25%","ירוק – מתחת לסף"))))</f>
        <v/>
      </c>
    </row>
    <row r="27" ht="15" customHeight="1" s="32">
      <c r="A27" s="44" t="inlineStr">
        <is>
          <t>סטטוס כולל</t>
        </is>
      </c>
      <c r="B27" s="45">
        <f>IF(OR(LEFT(B25,4)="אדום",LEFT(B26,4)="אדום"),"אדום – טיפול נדרש",IF(OR(LEFT(B25,4)="צהוב",LEFT(B26,4)="צהוב"),"צהוב – מעקב","ירוק"))</f>
        <v/>
      </c>
    </row>
    <row r="29" ht="15" customHeight="1" s="32">
      <c r="A29" s="35" t="inlineStr">
        <is>
          <t>פעולות פתוחות</t>
        </is>
      </c>
      <c r="B29" s="36" t="n"/>
      <c r="C29" s="36" t="n"/>
    </row>
    <row r="30" ht="23.85" customHeight="1" s="32">
      <c r="A30" s="37" t="inlineStr">
        <is>
          <t>• לוודא שנתוני הרווחים הנצברים נלקחו מדוחות המס ולא מהמאזן החשבונאי.</t>
        </is>
      </c>
    </row>
    <row r="31" ht="23.85" customHeight="1" s="32">
      <c r="A31" s="37" t="inlineStr">
        <is>
          <t>• לבדוק אם בעלי המניות כוללים חברות שחל עליהן סעיף 126(ב) – אז נדרש חישוב לפי תקנות הדיבידנדים.</t>
        </is>
      </c>
    </row>
    <row r="32" ht="23.85" customHeight="1" s="32">
      <c r="A32" s="37" t="inlineStr">
        <is>
          <t>• לאמת את תוצאת סעיף 62א מול הסימולטור של רשות המסים.</t>
        </is>
      </c>
    </row>
    <row r="33" ht="23.85" customHeight="1" s="32">
      <c r="A33" s="37" t="inlineStr">
        <is>
          <t>• מועד אחרון לדיווח על חלופת החלוקה: המוקדם מבין הגשת הדוח השנתי לתום השנה העוקבת (עדכון מס' 1 לחוזר 7/2025).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2026-08-11T11:16:25Z</dcterms:created>
  <dcterms:modified xmlns:dcterms="http://purl.org/dc/terms/" xmlns:xsi="http://www.w3.org/2001/XMLSchema-instance" xsi:type="dcterms:W3CDTF">2026-10-07T16:21:56Z</dcterms:modified>
  <cp:revision>0</cp:revision>
</cp:coreProperties>
</file>